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guimiento Clientes" sheetId="1" state="visible" r:id="rId3"/>
    <sheet name="Bitácora de Contactos" sheetId="2" state="visible" r:id="rId4"/>
    <sheet name="Pipeline Resumen" sheetId="3" state="visible" r:id="rId5"/>
    <sheet name="Guiones de Contact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<sst xmlns="http://schemas.openxmlformats.org/spreadsheetml/2006/main" count="487" uniqueCount="287">
  <si>
    <t xml:space="preserve">PYGLARA — Seguimiento de Clientes y Proceso de Reactivación</t>
  </si>
  <si>
    <t xml:space="preserve">Prensados y Galvanizados de Lara, S.A. · Zona Industrial I, Barquisimeto · Actualizado: 24/03/2026</t>
  </si>
  <si>
    <t xml:space="preserve">Prioridad</t>
  </si>
  <si>
    <t xml:space="preserve">Empresa</t>
  </si>
  <si>
    <t xml:space="preserve">Sector</t>
  </si>
  <si>
    <t xml:space="preserve">Estado</t>
  </si>
  <si>
    <t xml:space="preserve">Volumen</t>
  </si>
  <si>
    <t xml:space="preserve">RIF</t>
  </si>
  <si>
    <t xml:space="preserve">Contacto</t>
  </si>
  <si>
    <t xml:space="preserve">Teléfono</t>
  </si>
  <si>
    <t xml:space="preserve">Email</t>
  </si>
  <si>
    <t xml:space="preserve">Website / RRSS</t>
  </si>
  <si>
    <t xml:space="preserve">Fecha 1er Contacto</t>
  </si>
  <si>
    <t xml:space="preserve">Método Contacto</t>
  </si>
  <si>
    <t xml:space="preserve">Respuesta Recibida</t>
  </si>
  <si>
    <t xml:space="preserve">Siguiente Acción</t>
  </si>
  <si>
    <t xml:space="preserve">Fecha Próx. Cont.</t>
  </si>
  <si>
    <t xml:space="preserve">Cotización Enviada</t>
  </si>
  <si>
    <t xml:space="preserve">Pedido / Monto</t>
  </si>
  <si>
    <t xml:space="preserve">Notas Adicionales</t>
  </si>
  <si>
    <t xml:space="preserve">★★★ P1</t>
  </si>
  <si>
    <t xml:space="preserve">SASGO (Suministros Eléctricos SASGO)</t>
  </si>
  <si>
    <t xml:space="preserve">Fabricación Eléctrica</t>
  </si>
  <si>
    <t xml:space="preserve">Sin contactar</t>
  </si>
  <si>
    <t xml:space="preserve">ALTO</t>
  </si>
  <si>
    <t xml:space="preserve">J-31248868-9</t>
  </si>
  <si>
    <t xml:space="preserve">—</t>
  </si>
  <si>
    <t xml:space="preserve">+58 251-237-1610 | +58 412-536-3346</t>
  </si>
  <si>
    <t xml:space="preserve">importacion@sasgo.com.ve</t>
  </si>
  <si>
    <t xml:space="preserve">@sasgo.ve (IG/TikTok/FB)</t>
  </si>
  <si>
    <t xml:space="preserve">Visitar en persona — mismo galpón Zona Industrial I</t>
  </si>
  <si>
    <t xml:space="preserve">No</t>
  </si>
  <si>
    <t xml:space="preserve">Industrias Marullo</t>
  </si>
  <si>
    <t xml:space="preserve">Metalmecánica</t>
  </si>
  <si>
    <t xml:space="preserve">J-07504626-9</t>
  </si>
  <si>
    <t xml:space="preserve">+58 424-514-3859 | +58 251-237-2203</t>
  </si>
  <si>
    <t xml:space="preserve">marullo@hotmail.com</t>
  </si>
  <si>
    <t xml:space="preserve">@industriasmarullo (IG)</t>
  </si>
  <si>
    <t xml:space="preserve">Freyssinet / Geoquest Venezuela</t>
  </si>
  <si>
    <t xml:space="preserve">Ingeniería Geotécnica / Civil</t>
  </si>
  <si>
    <t xml:space="preserve">J-00133672-9</t>
  </si>
  <si>
    <t xml:space="preserve">Ramón Paz Besada (Dir. Gral.)</t>
  </si>
  <si>
    <t xml:space="preserve">+58 212-238-8285 | +58 414-133-0406</t>
  </si>
  <si>
    <t xml:space="preserve">consultas@tierra-armada.com.ve</t>
  </si>
  <si>
    <t xml:space="preserve">@geoquest_venezuela (IG)</t>
  </si>
  <si>
    <t xml:space="preserve">Llamar y pedir cita con dirección</t>
  </si>
  <si>
    <t xml:space="preserve">GEDISA (General Distribuidora)</t>
  </si>
  <si>
    <t xml:space="preserve">Distribución Eléctrica</t>
  </si>
  <si>
    <t xml:space="preserve">MEDIO</t>
  </si>
  <si>
    <t xml:space="preserve">J-00046849-4</t>
  </si>
  <si>
    <t xml:space="preserve">+58 251-237-0193 | +58 414-503-2546</t>
  </si>
  <si>
    <t xml:space="preserve">gedisa@gedisa.com.ve</t>
  </si>
  <si>
    <t xml:space="preserve">@gedisaoficial (IG/Threads)</t>
  </si>
  <si>
    <t xml:space="preserve">Reactivaron operaciones en Ene-2026 — visitar oficina Zona Ind. I</t>
  </si>
  <si>
    <t xml:space="preserve">DISMACA</t>
  </si>
  <si>
    <t xml:space="preserve">EPC / Ingeniería Industrial</t>
  </si>
  <si>
    <t xml:space="preserve">J-40468528-6</t>
  </si>
  <si>
    <t xml:space="preserve">Christian Villegas (Gte. Compras)</t>
  </si>
  <si>
    <t xml:space="preserve">+58 426-580-0942</t>
  </si>
  <si>
    <t xml:space="preserve">dismaca@dismaca.com</t>
  </si>
  <si>
    <t xml:space="preserve">@dismacavzla (IG)</t>
  </si>
  <si>
    <t xml:space="preserve">Enfocar como SOCIO de capacidad, no competidor</t>
  </si>
  <si>
    <t xml:space="preserve">MEICA G&amp;L</t>
  </si>
  <si>
    <t xml:space="preserve">Fabricación Eléctrica / Metal</t>
  </si>
  <si>
    <t xml:space="preserve">BAJO</t>
  </si>
  <si>
    <t xml:space="preserve">Por confirmar</t>
  </si>
  <si>
    <t xml:space="preserve">Por identificar</t>
  </si>
  <si>
    <t xml:space="preserve">Facebook: Electro Forjas Meica CA</t>
  </si>
  <si>
    <t xml:space="preserve">Verificar dirección Zona Industrial I antes de contactar</t>
  </si>
  <si>
    <t xml:space="preserve">★★ P2A</t>
  </si>
  <si>
    <t xml:space="preserve">CORPOELEC Lara (Barquisimeto)</t>
  </si>
  <si>
    <t xml:space="preserve">Utilidad Eléctrica del Estado</t>
  </si>
  <si>
    <t xml:space="preserve">G-20010014-1</t>
  </si>
  <si>
    <t xml:space="preserve">Gerente de Almacén / Compras</t>
  </si>
  <si>
    <t xml:space="preserve">0251-239-4050 | 0414-512-9894</t>
  </si>
  <si>
    <t xml:space="preserve">corpoelecresponde@corpoelec.gob.ve</t>
  </si>
  <si>
    <t xml:space="preserve">@CorpoelecLara (FB)</t>
  </si>
  <si>
    <t xml:space="preserve">Visitar Almacén N°01, Zona Industrial I, C.16 — PRIMERA VISITA</t>
  </si>
  <si>
    <t xml:space="preserve">CORPOELEC Zulia (ex-ENELVEN)</t>
  </si>
  <si>
    <t xml:space="preserve">Gerente Regional Zulia</t>
  </si>
  <si>
    <t xml:space="preserve">0416-100-000</t>
  </si>
  <si>
    <t xml:space="preserve">@corpoeleczulia_ (IG)</t>
  </si>
  <si>
    <t xml:space="preserve">Recordar el pedido de 20,000 barras de cobre 2004-2005 al contactar</t>
  </si>
  <si>
    <t xml:space="preserve">INDUESCA</t>
  </si>
  <si>
    <t xml:space="preserve">Fabricación Eléctrica / Postes</t>
  </si>
  <si>
    <t xml:space="preserve">J-00071036-8</t>
  </si>
  <si>
    <t xml:space="preserve">Vanessa Varela (Jefa de Planta)</t>
  </si>
  <si>
    <t xml:space="preserve">0251-269-2076</t>
  </si>
  <si>
    <t xml:space="preserve">induesca@induesca.com</t>
  </si>
  <si>
    <t xml:space="preserve">induesca.com</t>
  </si>
  <si>
    <t xml:space="preserve">Llamar planta Barquisimeto directamente</t>
  </si>
  <si>
    <t xml:space="preserve">MANPEG (Manufactura de Postes)</t>
  </si>
  <si>
    <t xml:space="preserve">Postes / Torres Eléctricas</t>
  </si>
  <si>
    <t xml:space="preserve">J-31184248-9</t>
  </si>
  <si>
    <t xml:space="preserve">+58 424-561-2759</t>
  </si>
  <si>
    <t xml:space="preserve">@manpeg.ca (IG/FB/Threads)</t>
  </si>
  <si>
    <t xml:space="preserve">Mismo Zona Industrial I — visita en persona + DM Instagram</t>
  </si>
  <si>
    <t xml:space="preserve">SUGEVEN</t>
  </si>
  <si>
    <t xml:space="preserve">Tubos Estructurales / Postes</t>
  </si>
  <si>
    <t xml:space="preserve">0251-269-2324</t>
  </si>
  <si>
    <t xml:space="preserve">SUGEVEN2020@gmail.com</t>
  </si>
  <si>
    <t xml:space="preserve">@sugeven.ca (IG)</t>
  </si>
  <si>
    <t xml:space="preserve">Zona Industrial II, Barquisimeto — visita + Instagram DM</t>
  </si>
  <si>
    <t xml:space="preserve">ELÉCTRICA INDUSTRIAL LARA</t>
  </si>
  <si>
    <t xml:space="preserve">Distribución Material Eléctrico</t>
  </si>
  <si>
    <t xml:space="preserve">+58 424-585-0955 | +58 424-561-2759</t>
  </si>
  <si>
    <t xml:space="preserve">@electrica.industrial (IG)</t>
  </si>
  <si>
    <t xml:space="preserve">Llamar / WhatsApp / Instagram DM</t>
  </si>
  <si>
    <t xml:space="preserve">CATECA (Tecnoelectrica Cabimas)</t>
  </si>
  <si>
    <t xml:space="preserve">EPC Eléctrico / Zulia</t>
  </si>
  <si>
    <t xml:space="preserve">J-07029714-0</t>
  </si>
  <si>
    <t xml:space="preserve">0264-261-2866 | 0264-261-3766</t>
  </si>
  <si>
    <t xml:space="preserve">info@cateca.com</t>
  </si>
  <si>
    <t xml:space="preserve">cateca.com</t>
  </si>
  <si>
    <t xml:space="preserve">Llamar a oficina Cabimas — región petrolera</t>
  </si>
  <si>
    <t xml:space="preserve">VENHETOCA</t>
  </si>
  <si>
    <t xml:space="preserve">Herrajes Eléctricos</t>
  </si>
  <si>
    <t xml:space="preserve">VERIFICAR</t>
  </si>
  <si>
    <t xml:space="preserve">DESCONOCIDO</t>
  </si>
  <si>
    <t xml:space="preserve">No encontrado</t>
  </si>
  <si>
    <t xml:space="preserve">Indagar con contactos locales si sigue operando</t>
  </si>
  <si>
    <t xml:space="preserve">★★ P2B</t>
  </si>
  <si>
    <t xml:space="preserve">Tornillos Falcón (TORNIFAL)</t>
  </si>
  <si>
    <t xml:space="preserve">Distribución Tornillería</t>
  </si>
  <si>
    <t xml:space="preserve">Elkins Restrepo (Pdte.) / Rolando Restrepo</t>
  </si>
  <si>
    <t xml:space="preserve">0268-252-8212</t>
  </si>
  <si>
    <t xml:space="preserve">ventas@tornifal.com</t>
  </si>
  <si>
    <t xml:space="preserve">@tornifal (IG) | tornifal.com</t>
  </si>
  <si>
    <t xml:space="preserve">Email Elkins Restrepo: erestrepo@tornifal.com</t>
  </si>
  <si>
    <t xml:space="preserve">Tornillos Avila</t>
  </si>
  <si>
    <t xml:space="preserve">J-00138121-0</t>
  </si>
  <si>
    <t xml:space="preserve">Ver Instagram @tornavica</t>
  </si>
  <si>
    <t xml:space="preserve">@tornavica (IG)</t>
  </si>
  <si>
    <t xml:space="preserve">Contactar vía Instagram DM o WhatsApp</t>
  </si>
  <si>
    <t xml:space="preserve">Torni Roda Barquisimeto</t>
  </si>
  <si>
    <t xml:space="preserve">Distribución Tornillería (local)</t>
  </si>
  <si>
    <t xml:space="preserve">+58 251-446-0661</t>
  </si>
  <si>
    <t xml:space="preserve">Facebook: TORNI-RODA CA</t>
  </si>
  <si>
    <t xml:space="preserve">Visita en persona — Zona Industrial I</t>
  </si>
  <si>
    <t xml:space="preserve">Tornillos Carabobo (Valencia)</t>
  </si>
  <si>
    <t xml:space="preserve">VERIFICAR NOMBRE</t>
  </si>
  <si>
    <t xml:space="preserve">Verificar nombre correcto de la empresa antes de contactar</t>
  </si>
  <si>
    <t xml:space="preserve">Taller Chama (Mérida)</t>
  </si>
  <si>
    <t xml:space="preserve">Metalmecánica / Estructuras</t>
  </si>
  <si>
    <t xml:space="preserve">J-07004601-5</t>
  </si>
  <si>
    <t xml:space="preserve">0274-266-30XX</t>
  </si>
  <si>
    <t xml:space="preserve">tallerchama@gmail.com</t>
  </si>
  <si>
    <t xml:space="preserve">@tallerchama (IG) | tallerchama.com</t>
  </si>
  <si>
    <t xml:space="preserve">Email: tallerchama@gmail.com (aprox. 3h de Barquisimeto)</t>
  </si>
  <si>
    <t xml:space="preserve">TORACERO</t>
  </si>
  <si>
    <t xml:space="preserve">Metalmecánica (por verificar)</t>
  </si>
  <si>
    <t xml:space="preserve">Indagar nombre correcto y dirección con contactos locales</t>
  </si>
  <si>
    <t xml:space="preserve">Taller Mecánico ALFREDLUZ</t>
  </si>
  <si>
    <t xml:space="preserve">Taller Mecánico (por verificar)</t>
  </si>
  <si>
    <t xml:space="preserve">Verificar nombre correcto — puede ser persona natural no empresa</t>
  </si>
  <si>
    <t xml:space="preserve">INAMECA</t>
  </si>
  <si>
    <t xml:space="preserve">Fabricación Abrazaderas / Hardware</t>
  </si>
  <si>
    <t xml:space="preserve">J-22103964</t>
  </si>
  <si>
    <t xml:space="preserve">0251-269-2069 | 0251-269-2845</t>
  </si>
  <si>
    <t xml:space="preserve">Zona Industrial III, Barquisimeto — llamar directamente</t>
  </si>
  <si>
    <t xml:space="preserve">Industrias Dematorca</t>
  </si>
  <si>
    <t xml:space="preserve">Fabricación Tornillería (Aragua)</t>
  </si>
  <si>
    <t xml:space="preserve">J-30262445-2</t>
  </si>
  <si>
    <t xml:space="preserve">Emilio Coello (Presidente, 2013)</t>
  </si>
  <si>
    <t xml:space="preserve">Posiblemente cerrada — verificar antes de invertir tiempo</t>
  </si>
  <si>
    <t xml:space="preserve">GEMACA</t>
  </si>
  <si>
    <t xml:space="preserve">Tuberías PEAD / Plástico</t>
  </si>
  <si>
    <t xml:space="preserve">J-24200583</t>
  </si>
  <si>
    <t xml:space="preserve">Antonio Mesa</t>
  </si>
  <si>
    <t xml:space="preserve">+58 251-237-6922</t>
  </si>
  <si>
    <t xml:space="preserve">Ver gemaca.com</t>
  </si>
  <si>
    <t xml:space="preserve">@gemaca.ca (IG) | gemaca.com</t>
  </si>
  <si>
    <t xml:space="preserve">Zona Industrial I — prioridad baja, sin sinergias directas</t>
  </si>
  <si>
    <t xml:space="preserve">PROALCA / Grupo Proalca</t>
  </si>
  <si>
    <t xml:space="preserve">Alimentos Balanceados (Agro)</t>
  </si>
  <si>
    <t xml:space="preserve">+58 414-544-4455</t>
  </si>
  <si>
    <t xml:space="preserve">ventas@grupoproalca.com</t>
  </si>
  <si>
    <t xml:space="preserve">@proalca (IG)</t>
  </si>
  <si>
    <t xml:space="preserve">Sector agrícola — prioridad mínima</t>
  </si>
  <si>
    <t xml:space="preserve">★ P2C</t>
  </si>
  <si>
    <t xml:space="preserve">Comercial Ornelara</t>
  </si>
  <si>
    <t xml:space="preserve">Ferretería / Distribución</t>
  </si>
  <si>
    <t xml:space="preserve">J-30126685-4</t>
  </si>
  <si>
    <t xml:space="preserve">0251-446-6124 | +58 426-359-4044</t>
  </si>
  <si>
    <t xml:space="preserve">ventas@comercialornelara.com</t>
  </si>
  <si>
    <t xml:space="preserve">@comercialornelara_oficial (IG)</t>
  </si>
  <si>
    <t xml:space="preserve">Email para compras al por mayor</t>
  </si>
  <si>
    <t xml:space="preserve">ELIMINAR</t>
  </si>
  <si>
    <t xml:space="preserve">Comercial Alexmar</t>
  </si>
  <si>
    <t xml:space="preserve">Tienda de Regalos (RETIRAR)</t>
  </si>
  <si>
    <t xml:space="preserve">N/A — No relevante</t>
  </si>
  <si>
    <t xml:space="preserve">NINGUNO</t>
  </si>
  <si>
    <t xml:space="preserve">@tiendaalexmar (IG)</t>
  </si>
  <si>
    <t xml:space="preserve">ELIMINAR DE LISTA — tienda de regalos, sin relevancia</t>
  </si>
  <si>
    <t xml:space="preserve">SERPECA</t>
  </si>
  <si>
    <t xml:space="preserve">Servicios de Seguridad (RETIRAR)</t>
  </si>
  <si>
    <t xml:space="preserve">J-17975577</t>
  </si>
  <si>
    <t xml:space="preserve">ELIMINAR DE LISTA — empresa de vigilancia, sin relevancia</t>
  </si>
  <si>
    <t xml:space="preserve">Inversiones Porcinas (INPORCA)</t>
  </si>
  <si>
    <t xml:space="preserve">Genética Porcina / Agropecuario</t>
  </si>
  <si>
    <t xml:space="preserve">+58 424-534-4810</t>
  </si>
  <si>
    <t xml:space="preserve">ventasinporca@inporca.com</t>
  </si>
  <si>
    <t xml:space="preserve">@inversiones_porcinas (IG)</t>
  </si>
  <si>
    <t xml:space="preserve">Sector agrícola — prioridad baja</t>
  </si>
  <si>
    <t xml:space="preserve">Alimentos Las Tunas</t>
  </si>
  <si>
    <t xml:space="preserve">+58 424-556-3540</t>
  </si>
  <si>
    <t xml:space="preserve">Ver alimentoslastunas.com</t>
  </si>
  <si>
    <t xml:space="preserve">@alimentoslastunas (IG)</t>
  </si>
  <si>
    <t xml:space="preserve">Zona Industrial II — prioridad mínima</t>
  </si>
  <si>
    <t xml:space="preserve">Agropecuaria La Feliciana</t>
  </si>
  <si>
    <t xml:space="preserve">Ganadería Porcina / Agro (Grupo Proalca)</t>
  </si>
  <si>
    <t xml:space="preserve">Parte de Grupo Proalca</t>
  </si>
  <si>
    <t xml:space="preserve">@lafelicianave (IG)</t>
  </si>
  <si>
    <t xml:space="preserve">Prioridad mínima — parte de Proalca</t>
  </si>
  <si>
    <t xml:space="preserve">ZN Fundiciones</t>
  </si>
  <si>
    <t xml:space="preserve">Fundición / Metal (por verificar)</t>
  </si>
  <si>
    <t xml:space="preserve">Preguntar a gerencia PYGLARA si es cliente o proveedor</t>
  </si>
  <si>
    <t xml:space="preserve">★ P2B</t>
  </si>
  <si>
    <t xml:space="preserve">Dalmine / TAVSA (Tenaris)</t>
  </si>
  <si>
    <t xml:space="preserve">Tubos de Acero (Nacionalizada)</t>
  </si>
  <si>
    <t xml:space="preserve">Nacionalizada — No viable</t>
  </si>
  <si>
    <t xml:space="preserve">N/A (nacionalizada)</t>
  </si>
  <si>
    <t xml:space="preserve">tenaris.com</t>
  </si>
  <si>
    <t xml:space="preserve">Operaciones venezolanas destruidas post-nacionalización — NO priorizar</t>
  </si>
  <si>
    <t xml:space="preserve">PYGLARA — Bitácora Detallada de Contactos</t>
  </si>
  <si>
    <t xml:space="preserve">Fecha</t>
  </si>
  <si>
    <t xml:space="preserve">Persona Contactada</t>
  </si>
  <si>
    <t xml:space="preserve">Método</t>
  </si>
  <si>
    <t xml:space="preserve">Qué Se Dijo (Resumen)</t>
  </si>
  <si>
    <t xml:space="preserve">Interés Expresado</t>
  </si>
  <si>
    <t xml:space="preserve">Próxima Acción</t>
  </si>
  <si>
    <t xml:space="preserve">Responsable</t>
  </si>
  <si>
    <t xml:space="preserve">PYGLARA — Pipeline de Ventas · Resumen Ejecutivo</t>
  </si>
  <si>
    <t xml:space="preserve">ETAPA</t>
  </si>
  <si>
    <t xml:space="preserve">DESCRIPCIÓN</t>
  </si>
  <si>
    <t xml:space="preserve"># EMPRESAS</t>
  </si>
  <si>
    <t xml:space="preserve">MONTO EST. MENSUAL (USD)</t>
  </si>
  <si>
    <t xml:space="preserve">No se ha hecho acercamiento aún</t>
  </si>
  <si>
    <t xml:space="preserve">Por definir</t>
  </si>
  <si>
    <t xml:space="preserve">Primer contacto</t>
  </si>
  <si>
    <t xml:space="preserve">Contacto inicial enviado</t>
  </si>
  <si>
    <t xml:space="preserve">Respuesta recibida</t>
  </si>
  <si>
    <t xml:space="preserve">Empresa respondió positivamente</t>
  </si>
  <si>
    <t xml:space="preserve">Cotización enviada</t>
  </si>
  <si>
    <t xml:space="preserve">Propuesta económica enviada</t>
  </si>
  <si>
    <t xml:space="preserve">Pedido confirmado</t>
  </si>
  <si>
    <t xml:space="preserve">Orden de compra recibida</t>
  </si>
  <si>
    <t xml:space="preserve">Cliente activo</t>
  </si>
  <si>
    <t xml:space="preserve">Pedidos recurrentes en curso</t>
  </si>
  <si>
    <t xml:space="preserve">Indicadores Clave de Capacidad — Referencia Rápida</t>
  </si>
  <si>
    <t xml:space="preserve">Capacidad instalada (Cuba 7m)</t>
  </si>
  <si>
    <t xml:space="preserve">1,440 TM/mes</t>
  </si>
  <si>
    <t xml:space="preserve">Mejor mes histórico real</t>
  </si>
  <si>
    <t xml:space="preserve">300 TM/mes</t>
  </si>
  <si>
    <t xml:space="preserve">Costo variable por TM</t>
  </si>
  <si>
    <t xml:space="preserve">USD 345</t>
  </si>
  <si>
    <t xml:space="preserve">Costos fijos mensuales</t>
  </si>
  <si>
    <t xml:space="preserve">USD 5,600</t>
  </si>
  <si>
    <t xml:space="preserve">Zinc reposición por ciclo (7m)</t>
  </si>
  <si>
    <t xml:space="preserve">20 TM ≈ USD 84,400</t>
  </si>
  <si>
    <t xml:space="preserve">Competidores activos Venezuela</t>
  </si>
  <si>
    <t xml:space="preserve">2</t>
  </si>
  <si>
    <t xml:space="preserve">Competidores barras cobre</t>
  </si>
  <si>
    <t xml:space="preserve">0 (monopolio nacional)</t>
  </si>
  <si>
    <t xml:space="preserve">Capacidad cobre (barras/día)</t>
  </si>
  <si>
    <t xml:space="preserve">936 barras/día</t>
  </si>
  <si>
    <t xml:space="preserve">PYGLARA — Guiones y Mensajes de Contacto Recomendados</t>
  </si>
  <si>
    <t xml:space="preserve">Tipo de Contacto</t>
  </si>
  <si>
    <t xml:space="preserve">Empresa / Situación</t>
  </si>
  <si>
    <t xml:space="preserve">Mensaje / Guión Sugerido</t>
  </si>
  <si>
    <t xml:space="preserve">WhatsApp / Llamada inicial</t>
  </si>
  <si>
    <t xml:space="preserve">Empresas Zona Industrial I
(SASGO, Marullo, GEDISA, MANPEG)</t>
  </si>
  <si>
    <t xml:space="preserve">Buenos días, le escribo de parte de PYGLARA — Prensados y Galvanizados de Lara — ubicados aquí en la Zona Industrial I. Estamos reactivando nuestra planta de galvanizado en caliente y electrodeposición de cobre. Somos vecinos y quisiéramos saber si tienen necesidades de galvanizado para sus productos. ¿Podemos coordinar una visita esta semana?</t>
  </si>
  <si>
    <t xml:space="preserve">Email corporativo</t>
  </si>
  <si>
    <t xml:space="preserve">Freyssinet / Geoquest
(empresa internacional)</t>
  </si>
  <si>
    <t xml:space="preserve">Estimados señores:
Nos dirigimos a ustedes de parte de Prensados y Galvanizados de Lara, S.A. (PYGLARA), planta de galvanizado en caliente ubicada en Zona Industrial I, Barquisimeto.
Contamos con capacidad instalada de 1,440 TM/mes en nuestra cuba de 7m y actualmente estamos reactivando operaciones. Hemos identificado a Freyssinet / Geoquest Venezuela como potencial cliente para galvanizado de componentes estructurales de sus sistemas de tierra armada.
¿Podrían indicarnos quién gestiona las compras de este tipo de insumos para coordinar una reunión? Quedan a sus órdenes.
Andres Montbrun
PYGLARA — Barquisimeto, Venezuela
+58 424-571-5349</t>
  </si>
  <si>
    <t xml:space="preserve">Visita CORPOELEC Lara</t>
  </si>
  <si>
    <t xml:space="preserve">Almacén CORPOELEC
Zona Industrial I</t>
  </si>
  <si>
    <t xml:space="preserve">Guión visita: Presentarse como PYGLARA, planta vecina en Zona Industrial I. Mencionar: (1) somos el único galvanizador activo en la región occidental; (2) fabricamos barras de tierra (ground rods) cobre-recubiertas — sin competidor nacional conocido; (3) ENELVEN (ahora CORPOELEC Zulia) nos compró 20,000 barras en 2004-2005. Solicitar: contacto del área de compras de materiales eléctricos.</t>
  </si>
  <si>
    <t xml:space="preserve">WhatsApp / DM Instagram</t>
  </si>
  <si>
    <t xml:space="preserve">DISMACA
(enfoque como socio)</t>
  </si>
  <si>
    <t xml:space="preserve">Hola, les escribo de PYGLARA en Barquisimeto. Tenemos capacidad de galvanizado en caliente (cuba 7m, 1,440 TM/mes instalada) y estamos reactivando. Sabemos que ustedes también ofrecen galvanizado — nos gustaría explorar si podemos ser su opción de overflow cuando tengan demanda que exceda su propia capacidad, especialmente en piezas grandes para el sector O&amp;G. ¿Conversamos?</t>
  </si>
  <si>
    <t xml:space="preserve">Llamada / Email</t>
  </si>
  <si>
    <t xml:space="preserve">CORPOELEC Zulia
(referencia histórica clave)</t>
  </si>
  <si>
    <t xml:space="preserve">Buenos días. Me comunico de Prensados y Galvanizados de Lara (PYGLARA) en Barquisimeto. Estamos reactivando operaciones y recordamos que ENELVEN — hoy CORPOELEC Zulia — fue uno de nuestros clientes más importantes: en 2004-2005 les fabricamos 20,000 barras de tierra cobre-recubiertas. Nos interesa retomar esa relación. ¿Con quién debo hablar en el área de compras de materiales eléctricos?</t>
  </si>
  <si>
    <t xml:space="preserve">Email / Llamada</t>
  </si>
  <si>
    <t xml:space="preserve">Estimado Ing. Elkins Restrepo:
Le escribo de PYGLARA (Prensados y Galvanizados de Lara), planta de galvanizado en caliente en Barquisimeto. Tenemos experiencia galvanizando tornillos, tuercas y arandelas estructurales para el sector eléctrico y petrolero. Con solo 2 competidores activos en todo Venezuela, nuestros tiempos de entrega son muy competitivos para la región occidental. ¿Podríamos coordinar una llamada esta semana?
En espera de su respuesta,
Andres Montbrun — PYGLARA</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</si>
</sst>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AAAAAA"/>
      <name val="Arial"/>
      <family val="0"/>
      <charset val="1"/>
    </font>
    <font>
      <b val="true"/>
      <sz val="10"/>
      <color rgb="FFFFFFFF"/>
      <name val="Arial"/>
      <family val="0"/>
      <charset val="1"/>
    </font>
    <font>
      <b val="true"/>
      <sz val="10"/>
      <color rgb="FF2E75B6"/>
      <name val="Arial"/>
      <family val="0"/>
      <charset val="1"/>
    </font>
    <font>
      <sz val="10"/>
      <color rgb="FF000000"/>
      <name val="Arial"/>
      <family val="0"/>
      <charset val="1"/>
    </font>
    <font>
      <b val="true"/>
      <sz val="10"/>
      <color rgb="FF375623"/>
      <name val="Arial"/>
      <family val="0"/>
      <charset val="1"/>
    </font>
    <font>
      <b val="true"/>
      <sz val="10"/>
      <color rgb="FFC9A227"/>
      <name val="Arial"/>
      <family val="0"/>
      <charset val="1"/>
    </font>
    <font>
      <b val="true"/>
      <sz val="10"/>
      <color rgb="FF595959"/>
      <name val="Arial"/>
      <family val="0"/>
      <charset val="1"/>
    </font>
    <font>
      <b val="true"/>
      <sz val="10"/>
      <color rgb="FFC00000"/>
      <name val="Arial"/>
      <family val="0"/>
      <charset val="1"/>
    </font>
    <font>
      <b val="true"/>
      <sz val="14"/>
      <color rgb="FFFFFFFF"/>
      <name val="Arial"/>
      <family val="0"/>
      <charset val="1"/>
    </font>
    <font>
      <b val="true"/>
      <sz val="11"/>
      <color rgb="FFFFFFFF"/>
      <name val="Arial"/>
      <family val="0"/>
      <charset val="1"/>
    </font>
    <font>
      <b val="true"/>
      <sz val="12"/>
      <color rgb="FFFFFFFF"/>
      <name val="Arial"/>
      <family val="0"/>
      <charset val="1"/>
    </font>
    <font>
      <b val="true"/>
      <sz val="10"/>
      <color rgb="FF1F3864"/>
      <name val="Arial"/>
      <family val="0"/>
      <charset val="1"/>
    </font>
    <font>
      <b val="true"/>
      <sz val="10"/>
      <color rgb="FF000000"/>
      <name val="Arial"/>
      <family val="0"/>
      <charset val="1"/>
    </font>
    <font>
      <b val="true"/>
      <sz val="13"/>
      <color rgb="FFFFFFFF"/>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9E2F3"/>
        <bgColor rgb="FFE2EFDA"/>
      </patternFill>
    </fill>
    <fill>
      <patternFill patternType="solid">
        <fgColor rgb="FFE2EFDA"/>
        <bgColor rgb="FFF2F2F2"/>
      </patternFill>
    </fill>
    <fill>
      <patternFill patternType="solid">
        <fgColor rgb="FFFFF2CC"/>
        <bgColor rgb="FFFFE7E7"/>
      </patternFill>
    </fill>
    <fill>
      <patternFill patternType="solid">
        <fgColor rgb="FFF2F2F2"/>
        <bgColor rgb="FFF7FBFF"/>
      </patternFill>
    </fill>
    <fill>
      <patternFill patternType="solid">
        <fgColor rgb="FFFFE7E7"/>
        <bgColor rgb="FFF2F2F2"/>
      </patternFill>
    </fill>
    <fill>
      <patternFill patternType="solid">
        <fgColor rgb="FFFFFFFF"/>
        <bgColor rgb="FFF7FBFF"/>
      </patternFill>
    </fill>
    <fill>
      <patternFill patternType="solid">
        <fgColor rgb="FFF7FBFF"/>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color rgb="FF375623"/>
        <sz val="10"/>
      </font>
      <fill>
        <patternFill>
          <bgColor rgb="FFE2EFDA"/>
        </patternFill>
      </fill>
    </dxf>
    <dxf>
      <font>
        <name val="Arial"/>
        <charset val="1"/>
        <family val="0"/>
        <color rgb="FF375623"/>
        <sz val="10"/>
      </font>
      <fill>
        <patternFill>
          <bgColor rgb="FFCCFFCC"/>
        </patternFill>
      </fill>
    </dxf>
    <dxf>
      <font>
        <name val="Arial"/>
        <charset val="1"/>
        <family val="0"/>
        <color rgb="FFC9A227"/>
        <sz val="10"/>
      </font>
      <fill>
        <patternFill>
          <bgColor rgb="FFFFF2CC"/>
        </patternFill>
      </fill>
    </dxf>
    <dxf>
      <font>
        <name val="Arial"/>
        <charset val="1"/>
        <family val="0"/>
        <color rgb="FFC00000"/>
        <sz val="10"/>
      </font>
      <fill>
        <patternFill>
          <bgColor rgb="FFFFE7E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2EFD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CFFCC"/>
      <rgbColor rgb="FFFFE7E7"/>
      <rgbColor rgb="FF99CCFF"/>
      <rgbColor rgb="FFFF99CC"/>
      <rgbColor rgb="FFCC99FF"/>
      <rgbColor rgb="FFF7FBFF"/>
      <rgbColor rgb="FF2E75B6"/>
      <rgbColor rgb="FF33CCCC"/>
      <rgbColor rgb="FF99CC00"/>
      <rgbColor rgb="FFFFCC00"/>
      <rgbColor rgb="FFC9A227"/>
      <rgbColor rgb="FFFF6600"/>
      <rgbColor rgb="FF595959"/>
      <rgbColor rgb="FFAAAAAA"/>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10"/>
    <col collapsed="false" customWidth="true" hidden="false" outlineLevel="0" max="6" min="6" style="0" width="16"/>
    <col collapsed="false" customWidth="true" hidden="false" outlineLevel="0" max="7" min="7" style="0" width="22"/>
    <col collapsed="false" customWidth="true" hidden="false" outlineLevel="0" max="8" min="8" style="0" width="20"/>
    <col collapsed="false" customWidth="true" hidden="false" outlineLevel="0" max="9" min="9" style="0" width="26"/>
    <col collapsed="false" customWidth="true" hidden="false" outlineLevel="0" max="10" min="10" style="0" width="24"/>
    <col collapsed="false" customWidth="true" hidden="false" outlineLevel="0" max="12" min="11" style="0" width="16"/>
    <col collapsed="false" customWidth="true" hidden="false" outlineLevel="0" max="13" min="13" style="0" width="32"/>
    <col collapsed="false" customWidth="true" hidden="false" outlineLevel="0" max="14" min="14" style="0" width="28"/>
    <col collapsed="false" customWidth="true" hidden="false" outlineLevel="0" max="15" min="15" style="0" width="16"/>
    <col collapsed="false" customWidth="true" hidden="false" outlineLevel="0" max="16" min="16" style="0" width="14"/>
    <col collapsed="false" customWidth="true" hidden="false" outlineLevel="0" max="17" min="17" style="0" width="18"/>
    <col collapsed="false" customWidth="true" hidden="false" outlineLevel="0" max="18" min="18" style="0" width="36"/>
  </cols>
  <sheetData>
    <row r="1" customFormat="false" ht="36" hidden="false" customHeight="true" outlineLevel="0" collapsed="false">
      <c r="A1" s="1" t="s">
        <v>0</v>
      </c>
      <c r="B1" s="1"/>
      <c r="C1" s="1"/>
      <c r="D1" s="1"/>
      <c r="E1" s="1"/>
      <c r="F1" s="1"/>
      <c r="G1" s="1"/>
      <c r="H1" s="1"/>
      <c r="I1" s="1"/>
      <c r="J1" s="1"/>
      <c r="K1" s="1"/>
      <c r="L1" s="1"/>
      <c r="M1" s="1"/>
      <c r="N1" s="1"/>
      <c r="O1" s="1"/>
      <c r="P1" s="1"/>
      <c r="Q1" s="1"/>
      <c r="R1" s="1"/>
    </row>
    <row r="2" customFormat="false" ht="18" hidden="false" customHeight="true" outlineLevel="0" collapsed="false">
      <c r="A2" s="2" t="s">
        <v>1</v>
      </c>
      <c r="B2" s="2"/>
      <c r="C2" s="2"/>
      <c r="D2" s="2"/>
      <c r="E2" s="2"/>
      <c r="F2" s="2"/>
      <c r="G2" s="2"/>
      <c r="H2" s="2"/>
      <c r="I2" s="2"/>
      <c r="J2" s="2"/>
      <c r="K2" s="2"/>
      <c r="L2" s="2"/>
      <c r="M2" s="2"/>
      <c r="N2" s="2"/>
      <c r="O2" s="2"/>
      <c r="P2" s="2"/>
      <c r="Q2" s="2"/>
      <c r="R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row>
    <row r="4" customFormat="false" ht="45" hidden="false" customHeight="true" outlineLevel="0" collapsed="false">
      <c r="A4" s="4" t="s">
        <v>20</v>
      </c>
      <c r="B4" s="5" t="s">
        <v>21</v>
      </c>
      <c r="C4" s="6" t="s">
        <v>22</v>
      </c>
      <c r="D4" s="6" t="s">
        <v>23</v>
      </c>
      <c r="E4" s="7" t="s">
        <v>24</v>
      </c>
      <c r="F4" s="6" t="s">
        <v>25</v>
      </c>
      <c r="G4" s="6" t="s">
        <v>26</v>
      </c>
      <c r="H4" s="6" t="s">
        <v>27</v>
      </c>
      <c r="I4" s="6" t="s">
        <v>28</v>
      </c>
      <c r="J4" s="6" t="s">
        <v>29</v>
      </c>
      <c r="K4" s="7"/>
      <c r="L4" s="6"/>
      <c r="M4" s="6"/>
      <c r="N4" s="6" t="s">
        <v>30</v>
      </c>
      <c r="O4" s="7"/>
      <c r="P4" s="7" t="s">
        <v>31</v>
      </c>
      <c r="Q4" s="6"/>
      <c r="R4" s="6"/>
    </row>
    <row r="5" customFormat="false" ht="45" hidden="false" customHeight="true" outlineLevel="0" collapsed="false">
      <c r="A5" s="4" t="s">
        <v>20</v>
      </c>
      <c r="B5" s="5" t="s">
        <v>32</v>
      </c>
      <c r="C5" s="6" t="s">
        <v>33</v>
      </c>
      <c r="D5" s="6" t="s">
        <v>23</v>
      </c>
      <c r="E5" s="7" t="s">
        <v>24</v>
      </c>
      <c r="F5" s="6" t="s">
        <v>34</v>
      </c>
      <c r="G5" s="6" t="s">
        <v>26</v>
      </c>
      <c r="H5" s="6" t="s">
        <v>35</v>
      </c>
      <c r="I5" s="6" t="s">
        <v>36</v>
      </c>
      <c r="J5" s="6" t="s">
        <v>37</v>
      </c>
      <c r="K5" s="7"/>
      <c r="L5" s="6"/>
      <c r="M5" s="6"/>
      <c r="N5" s="6" t="s">
        <v>30</v>
      </c>
      <c r="O5" s="7"/>
      <c r="P5" s="7" t="s">
        <v>31</v>
      </c>
      <c r="Q5" s="6"/>
      <c r="R5" s="6"/>
    </row>
    <row r="6" customFormat="false" ht="45" hidden="false" customHeight="true" outlineLevel="0" collapsed="false">
      <c r="A6" s="4" t="s">
        <v>20</v>
      </c>
      <c r="B6" s="5" t="s">
        <v>38</v>
      </c>
      <c r="C6" s="6" t="s">
        <v>39</v>
      </c>
      <c r="D6" s="6" t="s">
        <v>23</v>
      </c>
      <c r="E6" s="7" t="s">
        <v>24</v>
      </c>
      <c r="F6" s="6" t="s">
        <v>40</v>
      </c>
      <c r="G6" s="6" t="s">
        <v>41</v>
      </c>
      <c r="H6" s="6" t="s">
        <v>42</v>
      </c>
      <c r="I6" s="6" t="s">
        <v>43</v>
      </c>
      <c r="J6" s="6" t="s">
        <v>44</v>
      </c>
      <c r="K6" s="7"/>
      <c r="L6" s="6"/>
      <c r="M6" s="6"/>
      <c r="N6" s="6" t="s">
        <v>45</v>
      </c>
      <c r="O6" s="7"/>
      <c r="P6" s="7" t="s">
        <v>31</v>
      </c>
      <c r="Q6" s="6"/>
      <c r="R6" s="6"/>
    </row>
    <row r="7" customFormat="false" ht="45" hidden="false" customHeight="true" outlineLevel="0" collapsed="false">
      <c r="A7" s="4" t="s">
        <v>20</v>
      </c>
      <c r="B7" s="5" t="s">
        <v>46</v>
      </c>
      <c r="C7" s="6" t="s">
        <v>47</v>
      </c>
      <c r="D7" s="6" t="s">
        <v>23</v>
      </c>
      <c r="E7" s="7" t="s">
        <v>48</v>
      </c>
      <c r="F7" s="6" t="s">
        <v>49</v>
      </c>
      <c r="G7" s="6" t="s">
        <v>26</v>
      </c>
      <c r="H7" s="6" t="s">
        <v>50</v>
      </c>
      <c r="I7" s="6" t="s">
        <v>51</v>
      </c>
      <c r="J7" s="6" t="s">
        <v>52</v>
      </c>
      <c r="K7" s="7"/>
      <c r="L7" s="6"/>
      <c r="M7" s="6"/>
      <c r="N7" s="6" t="s">
        <v>53</v>
      </c>
      <c r="O7" s="7"/>
      <c r="P7" s="7" t="s">
        <v>31</v>
      </c>
      <c r="Q7" s="6"/>
      <c r="R7" s="6"/>
    </row>
    <row r="8" customFormat="false" ht="45" hidden="false" customHeight="true" outlineLevel="0" collapsed="false">
      <c r="A8" s="4" t="s">
        <v>20</v>
      </c>
      <c r="B8" s="5" t="s">
        <v>54</v>
      </c>
      <c r="C8" s="6" t="s">
        <v>55</v>
      </c>
      <c r="D8" s="6" t="s">
        <v>23</v>
      </c>
      <c r="E8" s="7" t="s">
        <v>48</v>
      </c>
      <c r="F8" s="6" t="s">
        <v>56</v>
      </c>
      <c r="G8" s="6" t="s">
        <v>57</v>
      </c>
      <c r="H8" s="6" t="s">
        <v>58</v>
      </c>
      <c r="I8" s="6" t="s">
        <v>59</v>
      </c>
      <c r="J8" s="6" t="s">
        <v>60</v>
      </c>
      <c r="K8" s="7"/>
      <c r="L8" s="6"/>
      <c r="M8" s="6"/>
      <c r="N8" s="6" t="s">
        <v>61</v>
      </c>
      <c r="O8" s="7"/>
      <c r="P8" s="7" t="s">
        <v>31</v>
      </c>
      <c r="Q8" s="6"/>
      <c r="R8" s="6"/>
    </row>
    <row r="9" customFormat="false" ht="45" hidden="false" customHeight="true" outlineLevel="0" collapsed="false">
      <c r="A9" s="4" t="s">
        <v>20</v>
      </c>
      <c r="B9" s="5" t="s">
        <v>62</v>
      </c>
      <c r="C9" s="6" t="s">
        <v>63</v>
      </c>
      <c r="D9" s="6" t="s">
        <v>23</v>
      </c>
      <c r="E9" s="7" t="s">
        <v>64</v>
      </c>
      <c r="F9" s="6" t="s">
        <v>65</v>
      </c>
      <c r="G9" s="6" t="s">
        <v>66</v>
      </c>
      <c r="H9" s="6" t="s">
        <v>65</v>
      </c>
      <c r="I9" s="6" t="s">
        <v>65</v>
      </c>
      <c r="J9" s="6" t="s">
        <v>67</v>
      </c>
      <c r="K9" s="7"/>
      <c r="L9" s="6"/>
      <c r="M9" s="6"/>
      <c r="N9" s="6" t="s">
        <v>68</v>
      </c>
      <c r="O9" s="7"/>
      <c r="P9" s="7" t="s">
        <v>31</v>
      </c>
      <c r="Q9" s="6"/>
      <c r="R9" s="6"/>
    </row>
    <row r="10" customFormat="false" ht="45" hidden="false" customHeight="true" outlineLevel="0" collapsed="false">
      <c r="A10" s="8" t="s">
        <v>69</v>
      </c>
      <c r="B10" s="9" t="s">
        <v>70</v>
      </c>
      <c r="C10" s="10" t="s">
        <v>71</v>
      </c>
      <c r="D10" s="10" t="s">
        <v>23</v>
      </c>
      <c r="E10" s="11" t="s">
        <v>24</v>
      </c>
      <c r="F10" s="10" t="s">
        <v>72</v>
      </c>
      <c r="G10" s="10" t="s">
        <v>73</v>
      </c>
      <c r="H10" s="10" t="s">
        <v>74</v>
      </c>
      <c r="I10" s="10" t="s">
        <v>75</v>
      </c>
      <c r="J10" s="10" t="s">
        <v>76</v>
      </c>
      <c r="K10" s="11"/>
      <c r="L10" s="10"/>
      <c r="M10" s="10"/>
      <c r="N10" s="10" t="s">
        <v>77</v>
      </c>
      <c r="O10" s="11"/>
      <c r="P10" s="11" t="s">
        <v>31</v>
      </c>
      <c r="Q10" s="10"/>
      <c r="R10" s="10"/>
    </row>
    <row r="11" customFormat="false" ht="45" hidden="false" customHeight="true" outlineLevel="0" collapsed="false">
      <c r="A11" s="8" t="s">
        <v>69</v>
      </c>
      <c r="B11" s="9" t="s">
        <v>78</v>
      </c>
      <c r="C11" s="10" t="s">
        <v>71</v>
      </c>
      <c r="D11" s="10" t="s">
        <v>23</v>
      </c>
      <c r="E11" s="11" t="s">
        <v>24</v>
      </c>
      <c r="F11" s="10" t="s">
        <v>72</v>
      </c>
      <c r="G11" s="10" t="s">
        <v>79</v>
      </c>
      <c r="H11" s="10" t="s">
        <v>80</v>
      </c>
      <c r="I11" s="10" t="s">
        <v>75</v>
      </c>
      <c r="J11" s="10" t="s">
        <v>81</v>
      </c>
      <c r="K11" s="11"/>
      <c r="L11" s="10"/>
      <c r="M11" s="10"/>
      <c r="N11" s="10" t="s">
        <v>82</v>
      </c>
      <c r="O11" s="11"/>
      <c r="P11" s="11" t="s">
        <v>31</v>
      </c>
      <c r="Q11" s="10"/>
      <c r="R11" s="10"/>
    </row>
    <row r="12" customFormat="false" ht="45" hidden="false" customHeight="true" outlineLevel="0" collapsed="false">
      <c r="A12" s="8" t="s">
        <v>69</v>
      </c>
      <c r="B12" s="9" t="s">
        <v>83</v>
      </c>
      <c r="C12" s="10" t="s">
        <v>84</v>
      </c>
      <c r="D12" s="10" t="s">
        <v>23</v>
      </c>
      <c r="E12" s="11" t="s">
        <v>48</v>
      </c>
      <c r="F12" s="10" t="s">
        <v>85</v>
      </c>
      <c r="G12" s="10" t="s">
        <v>86</v>
      </c>
      <c r="H12" s="10" t="s">
        <v>87</v>
      </c>
      <c r="I12" s="10" t="s">
        <v>88</v>
      </c>
      <c r="J12" s="10" t="s">
        <v>89</v>
      </c>
      <c r="K12" s="11"/>
      <c r="L12" s="10"/>
      <c r="M12" s="10"/>
      <c r="N12" s="10" t="s">
        <v>90</v>
      </c>
      <c r="O12" s="11"/>
      <c r="P12" s="11" t="s">
        <v>31</v>
      </c>
      <c r="Q12" s="10"/>
      <c r="R12" s="10"/>
    </row>
    <row r="13" customFormat="false" ht="45" hidden="false" customHeight="true" outlineLevel="0" collapsed="false">
      <c r="A13" s="8" t="s">
        <v>69</v>
      </c>
      <c r="B13" s="9" t="s">
        <v>91</v>
      </c>
      <c r="C13" s="10" t="s">
        <v>92</v>
      </c>
      <c r="D13" s="10" t="s">
        <v>23</v>
      </c>
      <c r="E13" s="11" t="s">
        <v>48</v>
      </c>
      <c r="F13" s="10" t="s">
        <v>93</v>
      </c>
      <c r="G13" s="10" t="s">
        <v>26</v>
      </c>
      <c r="H13" s="10" t="s">
        <v>94</v>
      </c>
      <c r="I13" s="10" t="s">
        <v>26</v>
      </c>
      <c r="J13" s="10" t="s">
        <v>95</v>
      </c>
      <c r="K13" s="11"/>
      <c r="L13" s="10"/>
      <c r="M13" s="10"/>
      <c r="N13" s="10" t="s">
        <v>96</v>
      </c>
      <c r="O13" s="11"/>
      <c r="P13" s="11" t="s">
        <v>31</v>
      </c>
      <c r="Q13" s="10"/>
      <c r="R13" s="10"/>
    </row>
    <row r="14" customFormat="false" ht="45" hidden="false" customHeight="true" outlineLevel="0" collapsed="false">
      <c r="A14" s="8" t="s">
        <v>69</v>
      </c>
      <c r="B14" s="9" t="s">
        <v>97</v>
      </c>
      <c r="C14" s="10" t="s">
        <v>98</v>
      </c>
      <c r="D14" s="10" t="s">
        <v>23</v>
      </c>
      <c r="E14" s="11" t="s">
        <v>48</v>
      </c>
      <c r="F14" s="10" t="s">
        <v>65</v>
      </c>
      <c r="G14" s="10" t="s">
        <v>26</v>
      </c>
      <c r="H14" s="10" t="s">
        <v>99</v>
      </c>
      <c r="I14" s="10" t="s">
        <v>100</v>
      </c>
      <c r="J14" s="10" t="s">
        <v>101</v>
      </c>
      <c r="K14" s="11"/>
      <c r="L14" s="10"/>
      <c r="M14" s="10"/>
      <c r="N14" s="10" t="s">
        <v>102</v>
      </c>
      <c r="O14" s="11"/>
      <c r="P14" s="11" t="s">
        <v>31</v>
      </c>
      <c r="Q14" s="10"/>
      <c r="R14" s="10"/>
    </row>
    <row r="15" customFormat="false" ht="45" hidden="false" customHeight="true" outlineLevel="0" collapsed="false">
      <c r="A15" s="8" t="s">
        <v>69</v>
      </c>
      <c r="B15" s="9" t="s">
        <v>103</v>
      </c>
      <c r="C15" s="10" t="s">
        <v>104</v>
      </c>
      <c r="D15" s="10" t="s">
        <v>23</v>
      </c>
      <c r="E15" s="11" t="s">
        <v>48</v>
      </c>
      <c r="F15" s="10" t="s">
        <v>65</v>
      </c>
      <c r="G15" s="10" t="s">
        <v>26</v>
      </c>
      <c r="H15" s="10" t="s">
        <v>105</v>
      </c>
      <c r="I15" s="10" t="s">
        <v>26</v>
      </c>
      <c r="J15" s="10" t="s">
        <v>106</v>
      </c>
      <c r="K15" s="11"/>
      <c r="L15" s="10"/>
      <c r="M15" s="10"/>
      <c r="N15" s="10" t="s">
        <v>107</v>
      </c>
      <c r="O15" s="11"/>
      <c r="P15" s="11" t="s">
        <v>31</v>
      </c>
      <c r="Q15" s="10"/>
      <c r="R15" s="10"/>
    </row>
    <row r="16" customFormat="false" ht="45" hidden="false" customHeight="true" outlineLevel="0" collapsed="false">
      <c r="A16" s="8" t="s">
        <v>69</v>
      </c>
      <c r="B16" s="9" t="s">
        <v>108</v>
      </c>
      <c r="C16" s="10" t="s">
        <v>109</v>
      </c>
      <c r="D16" s="10" t="s">
        <v>23</v>
      </c>
      <c r="E16" s="11" t="s">
        <v>48</v>
      </c>
      <c r="F16" s="10" t="s">
        <v>110</v>
      </c>
      <c r="G16" s="10" t="s">
        <v>26</v>
      </c>
      <c r="H16" s="10" t="s">
        <v>111</v>
      </c>
      <c r="I16" s="10" t="s">
        <v>112</v>
      </c>
      <c r="J16" s="10" t="s">
        <v>113</v>
      </c>
      <c r="K16" s="11"/>
      <c r="L16" s="10"/>
      <c r="M16" s="10"/>
      <c r="N16" s="10" t="s">
        <v>114</v>
      </c>
      <c r="O16" s="11"/>
      <c r="P16" s="11" t="s">
        <v>31</v>
      </c>
      <c r="Q16" s="10"/>
      <c r="R16" s="10"/>
    </row>
    <row r="17" customFormat="false" ht="45" hidden="false" customHeight="true" outlineLevel="0" collapsed="false">
      <c r="A17" s="8" t="s">
        <v>69</v>
      </c>
      <c r="B17" s="9" t="s">
        <v>115</v>
      </c>
      <c r="C17" s="10" t="s">
        <v>116</v>
      </c>
      <c r="D17" s="10" t="s">
        <v>117</v>
      </c>
      <c r="E17" s="11" t="s">
        <v>118</v>
      </c>
      <c r="F17" s="10" t="s">
        <v>119</v>
      </c>
      <c r="G17" s="10" t="s">
        <v>26</v>
      </c>
      <c r="H17" s="10" t="s">
        <v>26</v>
      </c>
      <c r="I17" s="10" t="s">
        <v>26</v>
      </c>
      <c r="J17" s="10" t="s">
        <v>26</v>
      </c>
      <c r="K17" s="11"/>
      <c r="L17" s="10"/>
      <c r="M17" s="10"/>
      <c r="N17" s="10" t="s">
        <v>120</v>
      </c>
      <c r="O17" s="11"/>
      <c r="P17" s="11" t="s">
        <v>31</v>
      </c>
      <c r="Q17" s="10"/>
      <c r="R17" s="10"/>
    </row>
    <row r="18" customFormat="false" ht="45" hidden="false" customHeight="true" outlineLevel="0" collapsed="false">
      <c r="A18" s="12" t="s">
        <v>121</v>
      </c>
      <c r="B18" s="13" t="s">
        <v>122</v>
      </c>
      <c r="C18" s="14" t="s">
        <v>123</v>
      </c>
      <c r="D18" s="14" t="s">
        <v>23</v>
      </c>
      <c r="E18" s="15" t="s">
        <v>48</v>
      </c>
      <c r="F18" s="14" t="s">
        <v>65</v>
      </c>
      <c r="G18" s="14" t="s">
        <v>124</v>
      </c>
      <c r="H18" s="14" t="s">
        <v>125</v>
      </c>
      <c r="I18" s="14" t="s">
        <v>126</v>
      </c>
      <c r="J18" s="14" t="s">
        <v>127</v>
      </c>
      <c r="K18" s="15"/>
      <c r="L18" s="14"/>
      <c r="M18" s="14"/>
      <c r="N18" s="14" t="s">
        <v>128</v>
      </c>
      <c r="O18" s="15"/>
      <c r="P18" s="15" t="s">
        <v>31</v>
      </c>
      <c r="Q18" s="14"/>
      <c r="R18" s="14"/>
    </row>
    <row r="19" customFormat="false" ht="45" hidden="false" customHeight="true" outlineLevel="0" collapsed="false">
      <c r="A19" s="12" t="s">
        <v>121</v>
      </c>
      <c r="B19" s="13" t="s">
        <v>129</v>
      </c>
      <c r="C19" s="14" t="s">
        <v>123</v>
      </c>
      <c r="D19" s="14" t="s">
        <v>23</v>
      </c>
      <c r="E19" s="15" t="s">
        <v>48</v>
      </c>
      <c r="F19" s="14" t="s">
        <v>130</v>
      </c>
      <c r="G19" s="14" t="s">
        <v>26</v>
      </c>
      <c r="H19" s="14" t="s">
        <v>131</v>
      </c>
      <c r="I19" s="14" t="s">
        <v>26</v>
      </c>
      <c r="J19" s="14" t="s">
        <v>132</v>
      </c>
      <c r="K19" s="15"/>
      <c r="L19" s="14"/>
      <c r="M19" s="14"/>
      <c r="N19" s="14" t="s">
        <v>133</v>
      </c>
      <c r="O19" s="15"/>
      <c r="P19" s="15" t="s">
        <v>31</v>
      </c>
      <c r="Q19" s="14"/>
      <c r="R19" s="14"/>
    </row>
    <row r="20" customFormat="false" ht="45" hidden="false" customHeight="true" outlineLevel="0" collapsed="false">
      <c r="A20" s="12" t="s">
        <v>121</v>
      </c>
      <c r="B20" s="13" t="s">
        <v>134</v>
      </c>
      <c r="C20" s="14" t="s">
        <v>135</v>
      </c>
      <c r="D20" s="14" t="s">
        <v>23</v>
      </c>
      <c r="E20" s="15" t="s">
        <v>64</v>
      </c>
      <c r="F20" s="14" t="s">
        <v>65</v>
      </c>
      <c r="G20" s="14" t="s">
        <v>26</v>
      </c>
      <c r="H20" s="14" t="s">
        <v>136</v>
      </c>
      <c r="I20" s="14" t="s">
        <v>26</v>
      </c>
      <c r="J20" s="14" t="s">
        <v>137</v>
      </c>
      <c r="K20" s="15"/>
      <c r="L20" s="14"/>
      <c r="M20" s="14"/>
      <c r="N20" s="14" t="s">
        <v>138</v>
      </c>
      <c r="O20" s="15"/>
      <c r="P20" s="15" t="s">
        <v>31</v>
      </c>
      <c r="Q20" s="14"/>
      <c r="R20" s="14"/>
    </row>
    <row r="21" customFormat="false" ht="45" hidden="false" customHeight="true" outlineLevel="0" collapsed="false">
      <c r="A21" s="12" t="s">
        <v>121</v>
      </c>
      <c r="B21" s="13" t="s">
        <v>139</v>
      </c>
      <c r="C21" s="14" t="s">
        <v>123</v>
      </c>
      <c r="D21" s="14" t="s">
        <v>140</v>
      </c>
      <c r="E21" s="15" t="s">
        <v>64</v>
      </c>
      <c r="F21" s="14" t="s">
        <v>65</v>
      </c>
      <c r="G21" s="14" t="s">
        <v>26</v>
      </c>
      <c r="H21" s="14" t="s">
        <v>26</v>
      </c>
      <c r="I21" s="14" t="s">
        <v>26</v>
      </c>
      <c r="J21" s="14" t="s">
        <v>26</v>
      </c>
      <c r="K21" s="15"/>
      <c r="L21" s="14"/>
      <c r="M21" s="14"/>
      <c r="N21" s="14" t="s">
        <v>141</v>
      </c>
      <c r="O21" s="15"/>
      <c r="P21" s="15" t="s">
        <v>31</v>
      </c>
      <c r="Q21" s="14"/>
      <c r="R21" s="14"/>
    </row>
    <row r="22" customFormat="false" ht="45" hidden="false" customHeight="true" outlineLevel="0" collapsed="false">
      <c r="A22" s="12" t="s">
        <v>121</v>
      </c>
      <c r="B22" s="13" t="s">
        <v>142</v>
      </c>
      <c r="C22" s="14" t="s">
        <v>143</v>
      </c>
      <c r="D22" s="14" t="s">
        <v>23</v>
      </c>
      <c r="E22" s="15" t="s">
        <v>48</v>
      </c>
      <c r="F22" s="14" t="s">
        <v>144</v>
      </c>
      <c r="G22" s="14" t="s">
        <v>26</v>
      </c>
      <c r="H22" s="14" t="s">
        <v>145</v>
      </c>
      <c r="I22" s="14" t="s">
        <v>146</v>
      </c>
      <c r="J22" s="14" t="s">
        <v>147</v>
      </c>
      <c r="K22" s="15"/>
      <c r="L22" s="14"/>
      <c r="M22" s="14"/>
      <c r="N22" s="14" t="s">
        <v>148</v>
      </c>
      <c r="O22" s="15"/>
      <c r="P22" s="15" t="s">
        <v>31</v>
      </c>
      <c r="Q22" s="14"/>
      <c r="R22" s="14"/>
    </row>
    <row r="23" customFormat="false" ht="45" hidden="false" customHeight="true" outlineLevel="0" collapsed="false">
      <c r="A23" s="12" t="s">
        <v>121</v>
      </c>
      <c r="B23" s="13" t="s">
        <v>149</v>
      </c>
      <c r="C23" s="14" t="s">
        <v>150</v>
      </c>
      <c r="D23" s="14" t="s">
        <v>117</v>
      </c>
      <c r="E23" s="15" t="s">
        <v>118</v>
      </c>
      <c r="F23" s="14" t="s">
        <v>26</v>
      </c>
      <c r="G23" s="14" t="s">
        <v>26</v>
      </c>
      <c r="H23" s="14" t="s">
        <v>26</v>
      </c>
      <c r="I23" s="14" t="s">
        <v>26</v>
      </c>
      <c r="J23" s="14" t="s">
        <v>26</v>
      </c>
      <c r="K23" s="15"/>
      <c r="L23" s="14"/>
      <c r="M23" s="14"/>
      <c r="N23" s="14" t="s">
        <v>151</v>
      </c>
      <c r="O23" s="15"/>
      <c r="P23" s="15" t="s">
        <v>31</v>
      </c>
      <c r="Q23" s="14"/>
      <c r="R23" s="14"/>
    </row>
    <row r="24" customFormat="false" ht="45" hidden="false" customHeight="true" outlineLevel="0" collapsed="false">
      <c r="A24" s="12" t="s">
        <v>121</v>
      </c>
      <c r="B24" s="13" t="s">
        <v>152</v>
      </c>
      <c r="C24" s="14" t="s">
        <v>153</v>
      </c>
      <c r="D24" s="14" t="s">
        <v>117</v>
      </c>
      <c r="E24" s="15" t="s">
        <v>118</v>
      </c>
      <c r="F24" s="14" t="s">
        <v>26</v>
      </c>
      <c r="G24" s="14" t="s">
        <v>26</v>
      </c>
      <c r="H24" s="14" t="s">
        <v>26</v>
      </c>
      <c r="I24" s="14" t="s">
        <v>26</v>
      </c>
      <c r="J24" s="14" t="s">
        <v>26</v>
      </c>
      <c r="K24" s="15"/>
      <c r="L24" s="14"/>
      <c r="M24" s="14"/>
      <c r="N24" s="14" t="s">
        <v>154</v>
      </c>
      <c r="O24" s="15"/>
      <c r="P24" s="15" t="s">
        <v>31</v>
      </c>
      <c r="Q24" s="14"/>
      <c r="R24" s="14"/>
    </row>
    <row r="25" customFormat="false" ht="45" hidden="false" customHeight="true" outlineLevel="0" collapsed="false">
      <c r="A25" s="12" t="s">
        <v>121</v>
      </c>
      <c r="B25" s="13" t="s">
        <v>155</v>
      </c>
      <c r="C25" s="14" t="s">
        <v>156</v>
      </c>
      <c r="D25" s="14" t="s">
        <v>23</v>
      </c>
      <c r="E25" s="15" t="s">
        <v>48</v>
      </c>
      <c r="F25" s="14" t="s">
        <v>157</v>
      </c>
      <c r="G25" s="14" t="s">
        <v>26</v>
      </c>
      <c r="H25" s="14" t="s">
        <v>158</v>
      </c>
      <c r="I25" s="14" t="s">
        <v>26</v>
      </c>
      <c r="J25" s="14" t="s">
        <v>26</v>
      </c>
      <c r="K25" s="15"/>
      <c r="L25" s="14"/>
      <c r="M25" s="14"/>
      <c r="N25" s="14" t="s">
        <v>159</v>
      </c>
      <c r="O25" s="15"/>
      <c r="P25" s="15" t="s">
        <v>31</v>
      </c>
      <c r="Q25" s="14"/>
      <c r="R25" s="14"/>
    </row>
    <row r="26" customFormat="false" ht="45" hidden="false" customHeight="true" outlineLevel="0" collapsed="false">
      <c r="A26" s="12" t="s">
        <v>121</v>
      </c>
      <c r="B26" s="13" t="s">
        <v>160</v>
      </c>
      <c r="C26" s="14" t="s">
        <v>161</v>
      </c>
      <c r="D26" s="14" t="s">
        <v>117</v>
      </c>
      <c r="E26" s="15" t="s">
        <v>64</v>
      </c>
      <c r="F26" s="14" t="s">
        <v>162</v>
      </c>
      <c r="G26" s="14" t="s">
        <v>163</v>
      </c>
      <c r="H26" s="14" t="s">
        <v>26</v>
      </c>
      <c r="I26" s="14" t="s">
        <v>26</v>
      </c>
      <c r="J26" s="14" t="s">
        <v>26</v>
      </c>
      <c r="K26" s="15"/>
      <c r="L26" s="14"/>
      <c r="M26" s="14"/>
      <c r="N26" s="14" t="s">
        <v>164</v>
      </c>
      <c r="O26" s="15"/>
      <c r="P26" s="15" t="s">
        <v>31</v>
      </c>
      <c r="Q26" s="14"/>
      <c r="R26" s="14"/>
    </row>
    <row r="27" customFormat="false" ht="45" hidden="false" customHeight="true" outlineLevel="0" collapsed="false">
      <c r="A27" s="12" t="s">
        <v>121</v>
      </c>
      <c r="B27" s="13" t="s">
        <v>165</v>
      </c>
      <c r="C27" s="14" t="s">
        <v>166</v>
      </c>
      <c r="D27" s="14" t="s">
        <v>23</v>
      </c>
      <c r="E27" s="15" t="s">
        <v>64</v>
      </c>
      <c r="F27" s="14" t="s">
        <v>167</v>
      </c>
      <c r="G27" s="14" t="s">
        <v>168</v>
      </c>
      <c r="H27" s="14" t="s">
        <v>169</v>
      </c>
      <c r="I27" s="14" t="s">
        <v>170</v>
      </c>
      <c r="J27" s="14" t="s">
        <v>171</v>
      </c>
      <c r="K27" s="15"/>
      <c r="L27" s="14"/>
      <c r="M27" s="14"/>
      <c r="N27" s="14" t="s">
        <v>172</v>
      </c>
      <c r="O27" s="15"/>
      <c r="P27" s="15" t="s">
        <v>31</v>
      </c>
      <c r="Q27" s="14"/>
      <c r="R27" s="14"/>
    </row>
    <row r="28" customFormat="false" ht="45" hidden="false" customHeight="true" outlineLevel="0" collapsed="false">
      <c r="A28" s="12" t="s">
        <v>121</v>
      </c>
      <c r="B28" s="13" t="s">
        <v>173</v>
      </c>
      <c r="C28" s="14" t="s">
        <v>174</v>
      </c>
      <c r="D28" s="14" t="s">
        <v>23</v>
      </c>
      <c r="E28" s="15" t="s">
        <v>64</v>
      </c>
      <c r="F28" s="14" t="s">
        <v>65</v>
      </c>
      <c r="G28" s="14" t="s">
        <v>26</v>
      </c>
      <c r="H28" s="14" t="s">
        <v>175</v>
      </c>
      <c r="I28" s="14" t="s">
        <v>176</v>
      </c>
      <c r="J28" s="14" t="s">
        <v>177</v>
      </c>
      <c r="K28" s="15"/>
      <c r="L28" s="14"/>
      <c r="M28" s="14"/>
      <c r="N28" s="14" t="s">
        <v>178</v>
      </c>
      <c r="O28" s="15"/>
      <c r="P28" s="15" t="s">
        <v>31</v>
      </c>
      <c r="Q28" s="14"/>
      <c r="R28" s="14"/>
    </row>
    <row r="29" customFormat="false" ht="45" hidden="false" customHeight="true" outlineLevel="0" collapsed="false">
      <c r="A29" s="16" t="s">
        <v>179</v>
      </c>
      <c r="B29" s="17" t="s">
        <v>180</v>
      </c>
      <c r="C29" s="18" t="s">
        <v>181</v>
      </c>
      <c r="D29" s="18" t="s">
        <v>23</v>
      </c>
      <c r="E29" s="19" t="s">
        <v>48</v>
      </c>
      <c r="F29" s="18" t="s">
        <v>182</v>
      </c>
      <c r="G29" s="18" t="s">
        <v>26</v>
      </c>
      <c r="H29" s="18" t="s">
        <v>183</v>
      </c>
      <c r="I29" s="18" t="s">
        <v>184</v>
      </c>
      <c r="J29" s="18" t="s">
        <v>185</v>
      </c>
      <c r="K29" s="19"/>
      <c r="L29" s="18"/>
      <c r="M29" s="18"/>
      <c r="N29" s="18" t="s">
        <v>186</v>
      </c>
      <c r="O29" s="19"/>
      <c r="P29" s="19" t="s">
        <v>31</v>
      </c>
      <c r="Q29" s="18"/>
      <c r="R29" s="18"/>
    </row>
    <row r="30" customFormat="false" ht="45" hidden="false" customHeight="true" outlineLevel="0" collapsed="false">
      <c r="A30" s="20" t="s">
        <v>187</v>
      </c>
      <c r="B30" s="21" t="s">
        <v>188</v>
      </c>
      <c r="C30" s="22" t="s">
        <v>189</v>
      </c>
      <c r="D30" s="22" t="s">
        <v>190</v>
      </c>
      <c r="E30" s="23" t="s">
        <v>191</v>
      </c>
      <c r="F30" s="22" t="s">
        <v>26</v>
      </c>
      <c r="G30" s="22" t="s">
        <v>26</v>
      </c>
      <c r="H30" s="22" t="s">
        <v>26</v>
      </c>
      <c r="I30" s="22" t="s">
        <v>26</v>
      </c>
      <c r="J30" s="22" t="s">
        <v>192</v>
      </c>
      <c r="K30" s="23"/>
      <c r="L30" s="22"/>
      <c r="M30" s="22"/>
      <c r="N30" s="22" t="s">
        <v>193</v>
      </c>
      <c r="O30" s="23"/>
      <c r="P30" s="23" t="s">
        <v>31</v>
      </c>
      <c r="Q30" s="22"/>
      <c r="R30" s="22"/>
    </row>
    <row r="31" customFormat="false" ht="45" hidden="false" customHeight="true" outlineLevel="0" collapsed="false">
      <c r="A31" s="20" t="s">
        <v>187</v>
      </c>
      <c r="B31" s="21" t="s">
        <v>194</v>
      </c>
      <c r="C31" s="22" t="s">
        <v>195</v>
      </c>
      <c r="D31" s="22" t="s">
        <v>190</v>
      </c>
      <c r="E31" s="23" t="s">
        <v>191</v>
      </c>
      <c r="F31" s="22" t="s">
        <v>196</v>
      </c>
      <c r="G31" s="22" t="s">
        <v>26</v>
      </c>
      <c r="H31" s="22" t="s">
        <v>26</v>
      </c>
      <c r="I31" s="22" t="s">
        <v>26</v>
      </c>
      <c r="J31" s="22" t="s">
        <v>26</v>
      </c>
      <c r="K31" s="23"/>
      <c r="L31" s="22"/>
      <c r="M31" s="22"/>
      <c r="N31" s="22" t="s">
        <v>197</v>
      </c>
      <c r="O31" s="23"/>
      <c r="P31" s="23" t="s">
        <v>31</v>
      </c>
      <c r="Q31" s="22"/>
      <c r="R31" s="22"/>
    </row>
    <row r="32" customFormat="false" ht="45" hidden="false" customHeight="true" outlineLevel="0" collapsed="false">
      <c r="A32" s="16" t="s">
        <v>179</v>
      </c>
      <c r="B32" s="17" t="s">
        <v>198</v>
      </c>
      <c r="C32" s="18" t="s">
        <v>199</v>
      </c>
      <c r="D32" s="18" t="s">
        <v>23</v>
      </c>
      <c r="E32" s="19" t="s">
        <v>64</v>
      </c>
      <c r="F32" s="18" t="s">
        <v>65</v>
      </c>
      <c r="G32" s="18" t="s">
        <v>26</v>
      </c>
      <c r="H32" s="18" t="s">
        <v>200</v>
      </c>
      <c r="I32" s="18" t="s">
        <v>201</v>
      </c>
      <c r="J32" s="18" t="s">
        <v>202</v>
      </c>
      <c r="K32" s="19"/>
      <c r="L32" s="18"/>
      <c r="M32" s="18"/>
      <c r="N32" s="18" t="s">
        <v>203</v>
      </c>
      <c r="O32" s="19"/>
      <c r="P32" s="19" t="s">
        <v>31</v>
      </c>
      <c r="Q32" s="18"/>
      <c r="R32" s="18"/>
    </row>
    <row r="33" customFormat="false" ht="45" hidden="false" customHeight="true" outlineLevel="0" collapsed="false">
      <c r="A33" s="16" t="s">
        <v>179</v>
      </c>
      <c r="B33" s="17" t="s">
        <v>204</v>
      </c>
      <c r="C33" s="18" t="s">
        <v>174</v>
      </c>
      <c r="D33" s="18" t="s">
        <v>23</v>
      </c>
      <c r="E33" s="19" t="s">
        <v>64</v>
      </c>
      <c r="F33" s="18" t="s">
        <v>65</v>
      </c>
      <c r="G33" s="18" t="s">
        <v>26</v>
      </c>
      <c r="H33" s="18" t="s">
        <v>205</v>
      </c>
      <c r="I33" s="18" t="s">
        <v>206</v>
      </c>
      <c r="J33" s="18" t="s">
        <v>207</v>
      </c>
      <c r="K33" s="19"/>
      <c r="L33" s="18"/>
      <c r="M33" s="18"/>
      <c r="N33" s="18" t="s">
        <v>208</v>
      </c>
      <c r="O33" s="19"/>
      <c r="P33" s="19" t="s">
        <v>31</v>
      </c>
      <c r="Q33" s="18"/>
      <c r="R33" s="18"/>
    </row>
    <row r="34" customFormat="false" ht="45" hidden="false" customHeight="true" outlineLevel="0" collapsed="false">
      <c r="A34" s="16" t="s">
        <v>179</v>
      </c>
      <c r="B34" s="17" t="s">
        <v>209</v>
      </c>
      <c r="C34" s="18" t="s">
        <v>210</v>
      </c>
      <c r="D34" s="18" t="s">
        <v>23</v>
      </c>
      <c r="E34" s="19" t="s">
        <v>64</v>
      </c>
      <c r="F34" s="18" t="s">
        <v>211</v>
      </c>
      <c r="G34" s="18" t="s">
        <v>26</v>
      </c>
      <c r="H34" s="18" t="s">
        <v>175</v>
      </c>
      <c r="I34" s="18" t="s">
        <v>176</v>
      </c>
      <c r="J34" s="18" t="s">
        <v>212</v>
      </c>
      <c r="K34" s="19"/>
      <c r="L34" s="18"/>
      <c r="M34" s="18"/>
      <c r="N34" s="18" t="s">
        <v>213</v>
      </c>
      <c r="O34" s="19"/>
      <c r="P34" s="19" t="s">
        <v>31</v>
      </c>
      <c r="Q34" s="18"/>
      <c r="R34" s="18"/>
    </row>
    <row r="35" customFormat="false" ht="45" hidden="false" customHeight="true" outlineLevel="0" collapsed="false">
      <c r="A35" s="16" t="s">
        <v>179</v>
      </c>
      <c r="B35" s="17" t="s">
        <v>214</v>
      </c>
      <c r="C35" s="18" t="s">
        <v>215</v>
      </c>
      <c r="D35" s="18" t="s">
        <v>117</v>
      </c>
      <c r="E35" s="19" t="s">
        <v>118</v>
      </c>
      <c r="F35" s="18" t="s">
        <v>26</v>
      </c>
      <c r="G35" s="18" t="s">
        <v>26</v>
      </c>
      <c r="H35" s="18" t="s">
        <v>26</v>
      </c>
      <c r="I35" s="18" t="s">
        <v>26</v>
      </c>
      <c r="J35" s="18" t="s">
        <v>26</v>
      </c>
      <c r="K35" s="19"/>
      <c r="L35" s="18"/>
      <c r="M35" s="18"/>
      <c r="N35" s="18" t="s">
        <v>216</v>
      </c>
      <c r="O35" s="19"/>
      <c r="P35" s="19" t="s">
        <v>31</v>
      </c>
      <c r="Q35" s="18"/>
      <c r="R35" s="18"/>
    </row>
    <row r="36" customFormat="false" ht="45" hidden="false" customHeight="true" outlineLevel="0" collapsed="false">
      <c r="A36" s="24" t="s">
        <v>217</v>
      </c>
      <c r="B36" s="25" t="s">
        <v>218</v>
      </c>
      <c r="C36" s="25" t="s">
        <v>219</v>
      </c>
      <c r="D36" s="25" t="s">
        <v>220</v>
      </c>
      <c r="E36" s="24" t="s">
        <v>64</v>
      </c>
      <c r="F36" s="25" t="s">
        <v>221</v>
      </c>
      <c r="G36" s="25" t="s">
        <v>26</v>
      </c>
      <c r="H36" s="25" t="s">
        <v>26</v>
      </c>
      <c r="I36" s="25" t="s">
        <v>26</v>
      </c>
      <c r="J36" s="25" t="s">
        <v>222</v>
      </c>
      <c r="K36" s="24"/>
      <c r="L36" s="25"/>
      <c r="M36" s="25"/>
      <c r="N36" s="25" t="s">
        <v>223</v>
      </c>
      <c r="O36" s="24"/>
      <c r="P36" s="24" t="s">
        <v>31</v>
      </c>
      <c r="Q36" s="25"/>
      <c r="R36" s="25"/>
    </row>
  </sheetData>
  <mergeCells count="2">
    <mergeCell ref="A1:R1"/>
    <mergeCell ref="A2:R2"/>
  </mergeCells>
  <conditionalFormatting sqref="D4:D36">
    <cfRule type="expression" priority="2" aboveAverage="0" equalAverage="0" bottom="0" percent="0" rank="0" text="" dxfId="0">
      <formula>D4="Cliente activo"</formula>
    </cfRule>
    <cfRule type="expression" priority="3" aboveAverage="0" equalAverage="0" bottom="0" percent="0" rank="0" text="" dxfId="1">
      <formula>D4="Pedido confirmado"</formula>
    </cfRule>
    <cfRule type="expression" priority="4" aboveAverage="0" equalAverage="0" bottom="0" percent="0" rank="0" text="" dxfId="2">
      <formula>D4="Respuesta recibida"</formula>
    </cfRule>
    <cfRule type="expression" priority="5" aboveAverage="0" equalAverage="0" bottom="0" percent="0" rank="0" text="" dxfId="2">
      <formula>D4="Cotización enviada"</formula>
    </cfRule>
    <cfRule type="expression" priority="6" aboveAverage="0" equalAverage="0" bottom="0" percent="0" rank="0" text="" dxfId="3">
      <formula>D4="Descartado"</formula>
    </cfRule>
    <cfRule type="expression" priority="7" aboveAverage="0" equalAverage="0" bottom="0" percent="0" rank="0" text="" dxfId="3">
      <formula>D4="N/A — No relevante"</formula>
    </cfRule>
    <cfRule type="expression" priority="8" aboveAverage="0" equalAverage="0" bottom="0" percent="0" rank="0" text="" dxfId="3">
      <formula>D4="Nacionalizada — No viable"</formula>
    </cfRule>
  </conditionalFormatting>
  <dataValidations count="4">
    <dataValidation allowBlank="true" errorStyle="stop" operator="between" showDropDown="false" showErrorMessage="false" showInputMessage="false" sqref="D4:D36" type="list">
      <formula1>"Sin contactar,Primer contacto enviado,Respuesta recibida,Reunión pactada,Cotización enviada,Negociando,Pedido confirmado,Cliente activo,Descartado,VERIFICAR"</formula1>
      <formula2>0</formula2>
    </dataValidation>
    <dataValidation allowBlank="true" errorStyle="stop" operator="between" showDropDown="false" showErrorMessage="false" showInputMessage="false" sqref="E4:E36" type="list">
      <formula1>"ALTO,MEDIO,BAJO,NINGUNO,DESCONOCIDO"</formula1>
      <formula2>0</formula2>
    </dataValidation>
    <dataValidation allowBlank="true" errorStyle="stop" operator="between" showDropDown="false" showErrorMessage="false" showInputMessage="false" sqref="L4:L36" type="list">
      <formula1>"Llamada telefónica,WhatsApp,Email,Visita en persona,Instagram DM,LinkedIn,Referido,Otro"</formula1>
      <formula2>0</formula2>
    </dataValidation>
    <dataValidation allowBlank="true" errorStyle="stop" operator="between" showDropDown="false" showErrorMessage="false" showInputMessage="false" sqref="P4:P36" type="list">
      <formula1>"No,Sí — pendiente respuesta,Sí — aceptada,Sí — rechazada"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2"/>
    <col collapsed="false" customWidth="true" hidden="false" outlineLevel="0" max="4" min="4" style="0" width="16"/>
    <col collapsed="false" customWidth="true" hidden="false" outlineLevel="0" max="5" min="5" style="0" width="45"/>
    <col collapsed="false" customWidth="true" hidden="false" outlineLevel="0" max="6" min="6" style="0" width="20"/>
    <col collapsed="false" customWidth="true" hidden="false" outlineLevel="0" max="7" min="7" style="0" width="30"/>
    <col collapsed="false" customWidth="true" hidden="false" outlineLevel="0" max="8" min="8" style="0" width="16"/>
  </cols>
  <sheetData>
    <row r="1" customFormat="false" ht="30" hidden="false" customHeight="true" outlineLevel="0" collapsed="false">
      <c r="A1" s="26" t="s">
        <v>224</v>
      </c>
      <c r="B1" s="26"/>
      <c r="C1" s="26"/>
      <c r="D1" s="26"/>
      <c r="E1" s="26"/>
      <c r="F1" s="26"/>
      <c r="G1" s="26"/>
      <c r="H1" s="26"/>
    </row>
    <row r="2" customFormat="false" ht="30" hidden="false" customHeight="true" outlineLevel="0" collapsed="false">
      <c r="A2" s="3" t="s">
        <v>225</v>
      </c>
      <c r="B2" s="3" t="s">
        <v>3</v>
      </c>
      <c r="C2" s="3" t="s">
        <v>226</v>
      </c>
      <c r="D2" s="3" t="s">
        <v>227</v>
      </c>
      <c r="E2" s="3" t="s">
        <v>228</v>
      </c>
      <c r="F2" s="3" t="s">
        <v>229</v>
      </c>
      <c r="G2" s="3" t="s">
        <v>230</v>
      </c>
      <c r="H2" s="3" t="s">
        <v>231</v>
      </c>
    </row>
    <row r="3" customFormat="false" ht="49.5" hidden="false" customHeight="true" outlineLevel="0" collapsed="false">
      <c r="A3" s="24"/>
      <c r="B3" s="24"/>
      <c r="C3" s="24"/>
      <c r="D3" s="24"/>
      <c r="E3" s="25"/>
      <c r="F3" s="24"/>
      <c r="G3" s="25"/>
      <c r="H3" s="24"/>
    </row>
    <row r="4" customFormat="false" ht="49.5" hidden="false" customHeight="true" outlineLevel="0" collapsed="false">
      <c r="A4" s="27"/>
      <c r="B4" s="27"/>
      <c r="C4" s="27"/>
      <c r="D4" s="27"/>
      <c r="E4" s="28"/>
      <c r="F4" s="27"/>
      <c r="G4" s="28"/>
      <c r="H4" s="27"/>
    </row>
    <row r="5" customFormat="false" ht="49.5" hidden="false" customHeight="true" outlineLevel="0" collapsed="false">
      <c r="A5" s="24"/>
      <c r="B5" s="24"/>
      <c r="C5" s="24"/>
      <c r="D5" s="24"/>
      <c r="E5" s="25"/>
      <c r="F5" s="24"/>
      <c r="G5" s="25"/>
      <c r="H5" s="24"/>
    </row>
    <row r="6" customFormat="false" ht="49.5" hidden="false" customHeight="true" outlineLevel="0" collapsed="false">
      <c r="A6" s="27"/>
      <c r="B6" s="27"/>
      <c r="C6" s="27"/>
      <c r="D6" s="27"/>
      <c r="E6" s="28"/>
      <c r="F6" s="27"/>
      <c r="G6" s="28"/>
      <c r="H6" s="27"/>
    </row>
    <row r="7" customFormat="false" ht="49.5" hidden="false" customHeight="true" outlineLevel="0" collapsed="false">
      <c r="A7" s="24"/>
      <c r="B7" s="24"/>
      <c r="C7" s="24"/>
      <c r="D7" s="24"/>
      <c r="E7" s="25"/>
      <c r="F7" s="24"/>
      <c r="G7" s="25"/>
      <c r="H7" s="24"/>
    </row>
    <row r="8" customFormat="false" ht="49.5" hidden="false" customHeight="true" outlineLevel="0" collapsed="false">
      <c r="A8" s="27"/>
      <c r="B8" s="27"/>
      <c r="C8" s="27"/>
      <c r="D8" s="27"/>
      <c r="E8" s="28"/>
      <c r="F8" s="27"/>
      <c r="G8" s="28"/>
      <c r="H8" s="27"/>
    </row>
    <row r="9" customFormat="false" ht="49.5" hidden="false" customHeight="true" outlineLevel="0" collapsed="false">
      <c r="A9" s="24"/>
      <c r="B9" s="24"/>
      <c r="C9" s="24"/>
      <c r="D9" s="24"/>
      <c r="E9" s="25"/>
      <c r="F9" s="24"/>
      <c r="G9" s="25"/>
      <c r="H9" s="24"/>
    </row>
    <row r="10" customFormat="false" ht="49.5" hidden="false" customHeight="true" outlineLevel="0" collapsed="false">
      <c r="A10" s="27"/>
      <c r="B10" s="27"/>
      <c r="C10" s="27"/>
      <c r="D10" s="27"/>
      <c r="E10" s="28"/>
      <c r="F10" s="27"/>
      <c r="G10" s="28"/>
      <c r="H10" s="27"/>
    </row>
    <row r="11" customFormat="false" ht="49.5" hidden="false" customHeight="true" outlineLevel="0" collapsed="false">
      <c r="A11" s="24"/>
      <c r="B11" s="24"/>
      <c r="C11" s="24"/>
      <c r="D11" s="24"/>
      <c r="E11" s="25"/>
      <c r="F11" s="24"/>
      <c r="G11" s="25"/>
      <c r="H11" s="24"/>
    </row>
    <row r="12" customFormat="false" ht="49.5" hidden="false" customHeight="true" outlineLevel="0" collapsed="false">
      <c r="A12" s="27"/>
      <c r="B12" s="27"/>
      <c r="C12" s="27"/>
      <c r="D12" s="27"/>
      <c r="E12" s="28"/>
      <c r="F12" s="27"/>
      <c r="G12" s="28"/>
      <c r="H12" s="27"/>
    </row>
    <row r="13" customFormat="false" ht="49.5" hidden="false" customHeight="true" outlineLevel="0" collapsed="false">
      <c r="A13" s="24"/>
      <c r="B13" s="24"/>
      <c r="C13" s="24"/>
      <c r="D13" s="24"/>
      <c r="E13" s="25"/>
      <c r="F13" s="24"/>
      <c r="G13" s="25"/>
      <c r="H13" s="24"/>
    </row>
    <row r="14" customFormat="false" ht="49.5" hidden="false" customHeight="true" outlineLevel="0" collapsed="false">
      <c r="A14" s="27"/>
      <c r="B14" s="27"/>
      <c r="C14" s="27"/>
      <c r="D14" s="27"/>
      <c r="E14" s="28"/>
      <c r="F14" s="27"/>
      <c r="G14" s="28"/>
      <c r="H14" s="27"/>
    </row>
    <row r="15" customFormat="false" ht="49.5" hidden="false" customHeight="true" outlineLevel="0" collapsed="false">
      <c r="A15" s="24"/>
      <c r="B15" s="24"/>
      <c r="C15" s="24"/>
      <c r="D15" s="24"/>
      <c r="E15" s="25"/>
      <c r="F15" s="24"/>
      <c r="G15" s="25"/>
      <c r="H15" s="24"/>
    </row>
    <row r="16" customFormat="false" ht="49.5" hidden="false" customHeight="true" outlineLevel="0" collapsed="false">
      <c r="A16" s="27"/>
      <c r="B16" s="27"/>
      <c r="C16" s="27"/>
      <c r="D16" s="27"/>
      <c r="E16" s="28"/>
      <c r="F16" s="27"/>
      <c r="G16" s="28"/>
      <c r="H16" s="27"/>
    </row>
    <row r="17" customFormat="false" ht="49.5" hidden="false" customHeight="true" outlineLevel="0" collapsed="false">
      <c r="A17" s="24"/>
      <c r="B17" s="24"/>
      <c r="C17" s="24"/>
      <c r="D17" s="24"/>
      <c r="E17" s="25"/>
      <c r="F17" s="24"/>
      <c r="G17" s="25"/>
      <c r="H17" s="24"/>
    </row>
    <row r="18" customFormat="false" ht="49.5" hidden="false" customHeight="true" outlineLevel="0" collapsed="false">
      <c r="A18" s="27"/>
      <c r="B18" s="27"/>
      <c r="C18" s="27"/>
      <c r="D18" s="27"/>
      <c r="E18" s="28"/>
      <c r="F18" s="27"/>
      <c r="G18" s="28"/>
      <c r="H18" s="27"/>
    </row>
    <row r="19" customFormat="false" ht="49.5" hidden="false" customHeight="true" outlineLevel="0" collapsed="false">
      <c r="A19" s="24"/>
      <c r="B19" s="24"/>
      <c r="C19" s="24"/>
      <c r="D19" s="24"/>
      <c r="E19" s="25"/>
      <c r="F19" s="24"/>
      <c r="G19" s="25"/>
      <c r="H19" s="24"/>
    </row>
    <row r="20" customFormat="false" ht="49.5" hidden="false" customHeight="true" outlineLevel="0" collapsed="false">
      <c r="A20" s="27"/>
      <c r="B20" s="27"/>
      <c r="C20" s="27"/>
      <c r="D20" s="27"/>
      <c r="E20" s="28"/>
      <c r="F20" s="27"/>
      <c r="G20" s="28"/>
      <c r="H20" s="27"/>
    </row>
    <row r="21" customFormat="false" ht="49.5" hidden="false" customHeight="true" outlineLevel="0" collapsed="false">
      <c r="A21" s="24"/>
      <c r="B21" s="24"/>
      <c r="C21" s="24"/>
      <c r="D21" s="24"/>
      <c r="E21" s="25"/>
      <c r="F21" s="24"/>
      <c r="G21" s="25"/>
      <c r="H21" s="24"/>
    </row>
    <row r="22" customFormat="false" ht="49.5" hidden="false" customHeight="true" outlineLevel="0" collapsed="false">
      <c r="A22" s="27"/>
      <c r="B22" s="27"/>
      <c r="C22" s="27"/>
      <c r="D22" s="27"/>
      <c r="E22" s="28"/>
      <c r="F22" s="27"/>
      <c r="G22" s="28"/>
      <c r="H22" s="27"/>
    </row>
    <row r="23" customFormat="false" ht="49.5" hidden="false" customHeight="true" outlineLevel="0" collapsed="false">
      <c r="A23" s="24"/>
      <c r="B23" s="24"/>
      <c r="C23" s="24"/>
      <c r="D23" s="24"/>
      <c r="E23" s="25"/>
      <c r="F23" s="24"/>
      <c r="G23" s="25"/>
      <c r="H23" s="24"/>
    </row>
    <row r="24" customFormat="false" ht="49.5" hidden="false" customHeight="true" outlineLevel="0" collapsed="false">
      <c r="A24" s="27"/>
      <c r="B24" s="27"/>
      <c r="C24" s="27"/>
      <c r="D24" s="27"/>
      <c r="E24" s="28"/>
      <c r="F24" s="27"/>
      <c r="G24" s="28"/>
      <c r="H24" s="27"/>
    </row>
    <row r="25" customFormat="false" ht="49.5" hidden="false" customHeight="true" outlineLevel="0" collapsed="false">
      <c r="A25" s="24"/>
      <c r="B25" s="24"/>
      <c r="C25" s="24"/>
      <c r="D25" s="24"/>
      <c r="E25" s="25"/>
      <c r="F25" s="24"/>
      <c r="G25" s="25"/>
      <c r="H25" s="24"/>
    </row>
    <row r="26" customFormat="false" ht="49.5" hidden="false" customHeight="true" outlineLevel="0" collapsed="false">
      <c r="A26" s="27"/>
      <c r="B26" s="27"/>
      <c r="C26" s="27"/>
      <c r="D26" s="27"/>
      <c r="E26" s="28"/>
      <c r="F26" s="27"/>
      <c r="G26" s="28"/>
      <c r="H26" s="27"/>
    </row>
    <row r="27" customFormat="false" ht="49.5" hidden="false" customHeight="true" outlineLevel="0" collapsed="false">
      <c r="A27" s="24"/>
      <c r="B27" s="24"/>
      <c r="C27" s="24"/>
      <c r="D27" s="24"/>
      <c r="E27" s="25"/>
      <c r="F27" s="24"/>
      <c r="G27" s="25"/>
      <c r="H27" s="24"/>
    </row>
    <row r="28" customFormat="false" ht="49.5" hidden="false" customHeight="true" outlineLevel="0" collapsed="false">
      <c r="A28" s="27"/>
      <c r="B28" s="27"/>
      <c r="C28" s="27"/>
      <c r="D28" s="27"/>
      <c r="E28" s="28"/>
      <c r="F28" s="27"/>
      <c r="G28" s="28"/>
      <c r="H28" s="27"/>
    </row>
    <row r="29" customFormat="false" ht="49.5" hidden="false" customHeight="true" outlineLevel="0" collapsed="false">
      <c r="A29" s="24"/>
      <c r="B29" s="24"/>
      <c r="C29" s="24"/>
      <c r="D29" s="24"/>
      <c r="E29" s="25"/>
      <c r="F29" s="24"/>
      <c r="G29" s="25"/>
      <c r="H29" s="24"/>
    </row>
    <row r="30" customFormat="false" ht="49.5" hidden="false" customHeight="true" outlineLevel="0" collapsed="false">
      <c r="A30" s="27"/>
      <c r="B30" s="27"/>
      <c r="C30" s="27"/>
      <c r="D30" s="27"/>
      <c r="E30" s="28"/>
      <c r="F30" s="27"/>
      <c r="G30" s="28"/>
      <c r="H30" s="27"/>
    </row>
    <row r="31" customFormat="false" ht="49.5" hidden="false" customHeight="true" outlineLevel="0" collapsed="false">
      <c r="A31" s="24"/>
      <c r="B31" s="24"/>
      <c r="C31" s="24"/>
      <c r="D31" s="24"/>
      <c r="E31" s="25"/>
      <c r="F31" s="24"/>
      <c r="G31" s="25"/>
      <c r="H31" s="24"/>
    </row>
    <row r="32" customFormat="false" ht="49.5" hidden="false" customHeight="true" outlineLevel="0" collapsed="false">
      <c r="A32" s="27"/>
      <c r="B32" s="27"/>
      <c r="C32" s="27"/>
      <c r="D32" s="27"/>
      <c r="E32" s="28"/>
      <c r="F32" s="27"/>
      <c r="G32" s="28"/>
      <c r="H32" s="27"/>
    </row>
    <row r="33" customFormat="false" ht="49.5" hidden="false" customHeight="true" outlineLevel="0" collapsed="false">
      <c r="A33" s="24"/>
      <c r="B33" s="24"/>
      <c r="C33" s="24"/>
      <c r="D33" s="24"/>
      <c r="E33" s="25"/>
      <c r="F33" s="24"/>
      <c r="G33" s="25"/>
      <c r="H33" s="24"/>
    </row>
    <row r="34" customFormat="false" ht="49.5" hidden="false" customHeight="true" outlineLevel="0" collapsed="false">
      <c r="A34" s="27"/>
      <c r="B34" s="27"/>
      <c r="C34" s="27"/>
      <c r="D34" s="27"/>
      <c r="E34" s="28"/>
      <c r="F34" s="27"/>
      <c r="G34" s="28"/>
      <c r="H34" s="27"/>
    </row>
    <row r="35" customFormat="false" ht="49.5" hidden="false" customHeight="true" outlineLevel="0" collapsed="false">
      <c r="A35" s="24"/>
      <c r="B35" s="24"/>
      <c r="C35" s="24"/>
      <c r="D35" s="24"/>
      <c r="E35" s="25"/>
      <c r="F35" s="24"/>
      <c r="G35" s="25"/>
      <c r="H35" s="24"/>
    </row>
    <row r="36" customFormat="false" ht="49.5" hidden="false" customHeight="true" outlineLevel="0" collapsed="false">
      <c r="A36" s="27"/>
      <c r="B36" s="27"/>
      <c r="C36" s="27"/>
      <c r="D36" s="27"/>
      <c r="E36" s="28"/>
      <c r="F36" s="27"/>
      <c r="G36" s="28"/>
      <c r="H36" s="27"/>
    </row>
    <row r="37" customFormat="false" ht="49.5" hidden="false" customHeight="true" outlineLevel="0" collapsed="false">
      <c r="A37" s="24"/>
      <c r="B37" s="24"/>
      <c r="C37" s="24"/>
      <c r="D37" s="24"/>
      <c r="E37" s="25"/>
      <c r="F37" s="24"/>
      <c r="G37" s="25"/>
      <c r="H37" s="24"/>
    </row>
    <row r="38" customFormat="false" ht="49.5" hidden="false" customHeight="true" outlineLevel="0" collapsed="false">
      <c r="A38" s="27"/>
      <c r="B38" s="27"/>
      <c r="C38" s="27"/>
      <c r="D38" s="27"/>
      <c r="E38" s="28"/>
      <c r="F38" s="27"/>
      <c r="G38" s="28"/>
      <c r="H38" s="27"/>
    </row>
    <row r="39" customFormat="false" ht="49.5" hidden="false" customHeight="true" outlineLevel="0" collapsed="false">
      <c r="A39" s="24"/>
      <c r="B39" s="24"/>
      <c r="C39" s="24"/>
      <c r="D39" s="24"/>
      <c r="E39" s="25"/>
      <c r="F39" s="24"/>
      <c r="G39" s="25"/>
      <c r="H39" s="24"/>
    </row>
    <row r="40" customFormat="false" ht="49.5" hidden="false" customHeight="true" outlineLevel="0" collapsed="false">
      <c r="A40" s="27"/>
      <c r="B40" s="27"/>
      <c r="C40" s="27"/>
      <c r="D40" s="27"/>
      <c r="E40" s="28"/>
      <c r="F40" s="27"/>
      <c r="G40" s="28"/>
      <c r="H40" s="27"/>
    </row>
    <row r="41" customFormat="false" ht="49.5" hidden="false" customHeight="true" outlineLevel="0" collapsed="false">
      <c r="A41" s="24"/>
      <c r="B41" s="24"/>
      <c r="C41" s="24"/>
      <c r="D41" s="24"/>
      <c r="E41" s="25"/>
      <c r="F41" s="24"/>
      <c r="G41" s="25"/>
      <c r="H41" s="24"/>
    </row>
    <row r="42" customFormat="false" ht="49.5" hidden="false" customHeight="true" outlineLevel="0" collapsed="false">
      <c r="A42" s="27"/>
      <c r="B42" s="27"/>
      <c r="C42" s="27"/>
      <c r="D42" s="27"/>
      <c r="E42" s="28"/>
      <c r="F42" s="27"/>
      <c r="G42" s="28"/>
      <c r="H42" s="27"/>
    </row>
    <row r="43" customFormat="false" ht="49.5" hidden="false" customHeight="true" outlineLevel="0" collapsed="false">
      <c r="A43" s="24"/>
      <c r="B43" s="24"/>
      <c r="C43" s="24"/>
      <c r="D43" s="24"/>
      <c r="E43" s="25"/>
      <c r="F43" s="24"/>
      <c r="G43" s="25"/>
      <c r="H43" s="24"/>
    </row>
    <row r="44" customFormat="false" ht="49.5" hidden="false" customHeight="true" outlineLevel="0" collapsed="false">
      <c r="A44" s="27"/>
      <c r="B44" s="27"/>
      <c r="C44" s="27"/>
      <c r="D44" s="27"/>
      <c r="E44" s="28"/>
      <c r="F44" s="27"/>
      <c r="G44" s="28"/>
      <c r="H44" s="27"/>
    </row>
    <row r="45" customFormat="false" ht="49.5" hidden="false" customHeight="true" outlineLevel="0" collapsed="false">
      <c r="A45" s="24"/>
      <c r="B45" s="24"/>
      <c r="C45" s="24"/>
      <c r="D45" s="24"/>
      <c r="E45" s="25"/>
      <c r="F45" s="24"/>
      <c r="G45" s="25"/>
      <c r="H45" s="24"/>
    </row>
    <row r="46" customFormat="false" ht="49.5" hidden="false" customHeight="true" outlineLevel="0" collapsed="false">
      <c r="A46" s="27"/>
      <c r="B46" s="27"/>
      <c r="C46" s="27"/>
      <c r="D46" s="27"/>
      <c r="E46" s="28"/>
      <c r="F46" s="27"/>
      <c r="G46" s="28"/>
      <c r="H46" s="27"/>
    </row>
    <row r="47" customFormat="false" ht="49.5" hidden="false" customHeight="true" outlineLevel="0" collapsed="false">
      <c r="A47" s="24"/>
      <c r="B47" s="24"/>
      <c r="C47" s="24"/>
      <c r="D47" s="24"/>
      <c r="E47" s="25"/>
      <c r="F47" s="24"/>
      <c r="G47" s="25"/>
      <c r="H47" s="24"/>
    </row>
    <row r="48" customFormat="false" ht="49.5" hidden="false" customHeight="true" outlineLevel="0" collapsed="false">
      <c r="A48" s="27"/>
      <c r="B48" s="27"/>
      <c r="C48" s="27"/>
      <c r="D48" s="27"/>
      <c r="E48" s="28"/>
      <c r="F48" s="27"/>
      <c r="G48" s="28"/>
      <c r="H48" s="27"/>
    </row>
    <row r="49" customFormat="false" ht="49.5" hidden="false" customHeight="true" outlineLevel="0" collapsed="false">
      <c r="A49" s="24"/>
      <c r="B49" s="24"/>
      <c r="C49" s="24"/>
      <c r="D49" s="24"/>
      <c r="E49" s="25"/>
      <c r="F49" s="24"/>
      <c r="G49" s="25"/>
      <c r="H49" s="24"/>
    </row>
    <row r="50" customFormat="false" ht="49.5" hidden="false" customHeight="true" outlineLevel="0" collapsed="false">
      <c r="A50" s="27"/>
      <c r="B50" s="27"/>
      <c r="C50" s="27"/>
      <c r="D50" s="27"/>
      <c r="E50" s="28"/>
      <c r="F50" s="27"/>
      <c r="G50" s="28"/>
      <c r="H50" s="27"/>
    </row>
    <row r="51" customFormat="false" ht="49.5" hidden="false" customHeight="true" outlineLevel="0" collapsed="false">
      <c r="A51" s="24"/>
      <c r="B51" s="24"/>
      <c r="C51" s="24"/>
      <c r="D51" s="24"/>
      <c r="E51" s="25"/>
      <c r="F51" s="24"/>
      <c r="G51" s="25"/>
      <c r="H51" s="24"/>
    </row>
    <row r="52" customFormat="false" ht="49.5" hidden="false" customHeight="true" outlineLevel="0" collapsed="false">
      <c r="A52" s="27"/>
      <c r="B52" s="27"/>
      <c r="C52" s="27"/>
      <c r="D52" s="27"/>
      <c r="E52" s="28"/>
      <c r="F52" s="27"/>
      <c r="G52" s="28"/>
      <c r="H52" s="27"/>
    </row>
  </sheetData>
  <mergeCells count="1">
    <mergeCell ref="A1:H1"/>
  </mergeCells>
  <dataValidations count="2">
    <dataValidation allowBlank="true" errorStyle="stop" operator="between" showDropDown="false" showErrorMessage="false" showInputMessage="false" sqref="F3:F52" type="list">
      <formula1>"Muy interesado,Interesado,Neutral,No interesado,Por confirmar"</formula1>
      <formula2>0</formula2>
    </dataValidation>
    <dataValidation allowBlank="true" errorStyle="stop" operator="between" showDropDown="false" showErrorMessage="false" showInputMessage="false" sqref="D3:D52" type="list">
      <formula1>"Llamada telefónica,WhatsApp,Email,Visita en persona,Instagram DM,LinkedIn,Referido,Otro"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16"/>
    <col collapsed="false" customWidth="true" hidden="false" outlineLevel="0" max="4" min="4" style="0" width="28"/>
    <col collapsed="false" customWidth="true" hidden="false" outlineLevel="0" max="5" min="5" style="0" width="14"/>
  </cols>
  <sheetData>
    <row r="1" customFormat="false" ht="30" hidden="false" customHeight="true" outlineLevel="0" collapsed="false">
      <c r="A1" s="26" t="s">
        <v>232</v>
      </c>
      <c r="B1" s="26"/>
      <c r="C1" s="26"/>
      <c r="D1" s="26"/>
      <c r="E1" s="26"/>
      <c r="F1" s="26"/>
    </row>
    <row r="3" customFormat="false" ht="31.5" hidden="false" customHeight="true" outlineLevel="0" collapsed="false">
      <c r="A3" s="29" t="s">
        <v>233</v>
      </c>
      <c r="B3" s="29" t="s">
        <v>234</v>
      </c>
      <c r="C3" s="30" t="s">
        <v>235</v>
      </c>
      <c r="D3" s="30" t="s">
        <v>236</v>
      </c>
    </row>
    <row r="4" customFormat="false" ht="31.5" hidden="false" customHeight="true" outlineLevel="0" collapsed="false">
      <c r="A4" s="18" t="s">
        <v>23</v>
      </c>
      <c r="B4" s="18" t="s">
        <v>237</v>
      </c>
      <c r="C4" s="19" t="n">
        <f aca="false">COUNTIF('Seguimiento Clientes'!D4:D36,"Sin contactar")</f>
        <v>24</v>
      </c>
      <c r="D4" s="19" t="s">
        <v>238</v>
      </c>
      <c r="E4" s="31"/>
    </row>
    <row r="5" customFormat="false" ht="31.5" hidden="false" customHeight="true" outlineLevel="0" collapsed="false">
      <c r="A5" s="6" t="s">
        <v>239</v>
      </c>
      <c r="B5" s="6" t="s">
        <v>240</v>
      </c>
      <c r="C5" s="7" t="n">
        <f aca="false">COUNTIF('Seguimiento Clientes'!D4:D36,"Primer contacto enviado")</f>
        <v>0</v>
      </c>
      <c r="D5" s="7" t="s">
        <v>238</v>
      </c>
      <c r="E5" s="32"/>
    </row>
    <row r="6" customFormat="false" ht="31.5" hidden="false" customHeight="true" outlineLevel="0" collapsed="false">
      <c r="A6" s="14" t="s">
        <v>241</v>
      </c>
      <c r="B6" s="14" t="s">
        <v>242</v>
      </c>
      <c r="C6" s="15" t="n">
        <f aca="false">COUNTIF('Seguimiento Clientes'!D4:D36,"Respuesta recibida")</f>
        <v>0</v>
      </c>
      <c r="D6" s="15" t="s">
        <v>238</v>
      </c>
      <c r="E6" s="33"/>
    </row>
    <row r="7" customFormat="false" ht="31.5" hidden="false" customHeight="true" outlineLevel="0" collapsed="false">
      <c r="A7" s="14" t="s">
        <v>243</v>
      </c>
      <c r="B7" s="14" t="s">
        <v>244</v>
      </c>
      <c r="C7" s="15" t="n">
        <f aca="false">COUNTIF('Seguimiento Clientes'!D4:D36,"Cotización enviada")</f>
        <v>0</v>
      </c>
      <c r="D7" s="15" t="s">
        <v>238</v>
      </c>
      <c r="E7" s="33"/>
    </row>
    <row r="8" customFormat="false" ht="31.5" hidden="false" customHeight="true" outlineLevel="0" collapsed="false">
      <c r="A8" s="10" t="s">
        <v>245</v>
      </c>
      <c r="B8" s="10" t="s">
        <v>246</v>
      </c>
      <c r="C8" s="11" t="n">
        <f aca="false">COUNTIF('Seguimiento Clientes'!D4:D36,"Pedido confirmado")</f>
        <v>0</v>
      </c>
      <c r="D8" s="11" t="s">
        <v>238</v>
      </c>
      <c r="E8" s="34"/>
    </row>
    <row r="9" customFormat="false" ht="31.5" hidden="false" customHeight="true" outlineLevel="0" collapsed="false">
      <c r="A9" s="10" t="s">
        <v>247</v>
      </c>
      <c r="B9" s="10" t="s">
        <v>248</v>
      </c>
      <c r="C9" s="11" t="n">
        <f aca="false">COUNTIF('Seguimiento Clientes'!D4:D36,"Cliente activo")</f>
        <v>0</v>
      </c>
      <c r="D9" s="11" t="s">
        <v>238</v>
      </c>
      <c r="E9" s="34"/>
    </row>
    <row r="11" customFormat="false" ht="27.75" hidden="false" customHeight="true" outlineLevel="0" collapsed="false">
      <c r="A11" s="35" t="s">
        <v>249</v>
      </c>
      <c r="B11" s="35"/>
      <c r="C11" s="35"/>
      <c r="D11" s="35"/>
      <c r="E11" s="35"/>
      <c r="F11" s="35"/>
    </row>
    <row r="12" customFormat="false" ht="24" hidden="false" customHeight="true" outlineLevel="0" collapsed="false">
      <c r="A12" s="36" t="s">
        <v>250</v>
      </c>
      <c r="B12" s="37" t="s">
        <v>251</v>
      </c>
      <c r="C12" s="37"/>
      <c r="D12" s="37"/>
      <c r="E12" s="37"/>
      <c r="F12" s="37"/>
    </row>
    <row r="13" customFormat="false" ht="24" hidden="false" customHeight="true" outlineLevel="0" collapsed="false">
      <c r="A13" s="36" t="s">
        <v>252</v>
      </c>
      <c r="B13" s="37" t="s">
        <v>253</v>
      </c>
      <c r="C13" s="37"/>
      <c r="D13" s="37"/>
      <c r="E13" s="37"/>
      <c r="F13" s="37"/>
    </row>
    <row r="14" customFormat="false" ht="24" hidden="false" customHeight="true" outlineLevel="0" collapsed="false">
      <c r="A14" s="36" t="s">
        <v>254</v>
      </c>
      <c r="B14" s="37" t="s">
        <v>255</v>
      </c>
      <c r="C14" s="37"/>
      <c r="D14" s="37"/>
      <c r="E14" s="37"/>
      <c r="F14" s="37"/>
    </row>
    <row r="15" customFormat="false" ht="24" hidden="false" customHeight="true" outlineLevel="0" collapsed="false">
      <c r="A15" s="36" t="s">
        <v>256</v>
      </c>
      <c r="B15" s="37" t="s">
        <v>257</v>
      </c>
      <c r="C15" s="37"/>
      <c r="D15" s="37"/>
      <c r="E15" s="37"/>
      <c r="F15" s="37"/>
    </row>
    <row r="16" customFormat="false" ht="24" hidden="false" customHeight="true" outlineLevel="0" collapsed="false">
      <c r="A16" s="36" t="s">
        <v>258</v>
      </c>
      <c r="B16" s="37" t="s">
        <v>259</v>
      </c>
      <c r="C16" s="37"/>
      <c r="D16" s="37"/>
      <c r="E16" s="37"/>
      <c r="F16" s="37"/>
    </row>
    <row r="17" customFormat="false" ht="24" hidden="false" customHeight="true" outlineLevel="0" collapsed="false">
      <c r="A17" s="36" t="s">
        <v>260</v>
      </c>
      <c r="B17" s="37" t="s">
        <v>261</v>
      </c>
      <c r="C17" s="37"/>
      <c r="D17" s="37"/>
      <c r="E17" s="37"/>
      <c r="F17" s="37"/>
    </row>
    <row r="18" customFormat="false" ht="24" hidden="false" customHeight="true" outlineLevel="0" collapsed="false">
      <c r="A18" s="36" t="s">
        <v>262</v>
      </c>
      <c r="B18" s="37" t="s">
        <v>263</v>
      </c>
      <c r="C18" s="37"/>
      <c r="D18" s="37"/>
      <c r="E18" s="37"/>
      <c r="F18" s="37"/>
    </row>
    <row r="19" customFormat="false" ht="24" hidden="false" customHeight="true" outlineLevel="0" collapsed="false">
      <c r="A19" s="36" t="s">
        <v>264</v>
      </c>
      <c r="B19" s="37" t="s">
        <v>265</v>
      </c>
      <c r="C19" s="37"/>
      <c r="D19" s="37"/>
      <c r="E19" s="37"/>
      <c r="F19" s="37"/>
    </row>
  </sheetData>
  <mergeCells count="10">
    <mergeCell ref="A1:F1"/>
    <mergeCell ref="A11:F11"/>
    <mergeCell ref="B12:F12"/>
    <mergeCell ref="B13:F13"/>
    <mergeCell ref="B14:F14"/>
    <mergeCell ref="B15:F15"/>
    <mergeCell ref="B16:F16"/>
    <mergeCell ref="B17:F17"/>
    <mergeCell ref="B18:F18"/>
    <mergeCell ref="B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0" width="24"/>
    <col collapsed="false" customWidth="true" hidden="false" outlineLevel="0" max="3" min="3" style="0" width="80"/>
  </cols>
  <sheetData>
    <row r="1" customFormat="false" ht="27.75" hidden="false" customHeight="true" outlineLevel="0" collapsed="false">
      <c r="A1" s="38" t="s">
        <v>266</v>
      </c>
      <c r="B1" s="38"/>
      <c r="C1" s="38"/>
    </row>
    <row r="2" customFormat="false" ht="27.75" hidden="false" customHeight="true" outlineLevel="0" collapsed="false">
      <c r="A2" s="3" t="s">
        <v>267</v>
      </c>
      <c r="B2" s="3" t="s">
        <v>268</v>
      </c>
      <c r="C2" s="3" t="s">
        <v>269</v>
      </c>
    </row>
    <row r="3" customFormat="false" ht="90" hidden="false" customHeight="true" outlineLevel="0" collapsed="false">
      <c r="A3" s="39" t="s">
        <v>270</v>
      </c>
      <c r="B3" s="39" t="s">
        <v>271</v>
      </c>
      <c r="C3" s="39" t="s">
        <v>272</v>
      </c>
    </row>
    <row r="4" customFormat="false" ht="90" hidden="false" customHeight="true" outlineLevel="0" collapsed="false">
      <c r="A4" s="40" t="s">
        <v>273</v>
      </c>
      <c r="B4" s="40" t="s">
        <v>274</v>
      </c>
      <c r="C4" s="40" t="s">
        <v>275</v>
      </c>
    </row>
    <row r="5" customFormat="false" ht="90" hidden="false" customHeight="true" outlineLevel="0" collapsed="false">
      <c r="A5" s="39" t="s">
        <v>276</v>
      </c>
      <c r="B5" s="39" t="s">
        <v>277</v>
      </c>
      <c r="C5" s="39" t="s">
        <v>278</v>
      </c>
    </row>
    <row r="6" customFormat="false" ht="90" hidden="false" customHeight="true" outlineLevel="0" collapsed="false">
      <c r="A6" s="40" t="s">
        <v>279</v>
      </c>
      <c r="B6" s="40" t="s">
        <v>280</v>
      </c>
      <c r="C6" s="40" t="s">
        <v>281</v>
      </c>
    </row>
    <row r="7" customFormat="false" ht="90" hidden="false" customHeight="true" outlineLevel="0" collapsed="false">
      <c r="A7" s="39" t="s">
        <v>282</v>
      </c>
      <c r="B7" s="39" t="s">
        <v>283</v>
      </c>
      <c r="C7" s="39" t="s">
        <v>284</v>
      </c>
    </row>
    <row r="8" customFormat="false" ht="90" hidden="false" customHeight="true" outlineLevel="0" collapsed="false">
      <c r="A8" s="40" t="s">
        <v>285</v>
      </c>
      <c r="B8" s="40" t="s">
        <v>122</v>
      </c>
      <c r="C8" s="40" t="s">
        <v>286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2026-03-24T22:32:09Z</dcterms:created>
  <dc:creator>openpyxl</dc:creator>
  <dc:description/>
  <dc:language>en-US</dc:language>
  <cp:lastModifiedBy/>
  <dcterms:modified xsi:type="dcterms:W3CDTF">2026-03-24T22:32:09Z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